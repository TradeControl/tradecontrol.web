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an\source\repos\tradecontrol.web\.local\companies-house\"/>
    </mc:Choice>
  </mc:AlternateContent>
  <xr:revisionPtr revIDLastSave="0" documentId="13_ncr:1_{0DEE6627-620C-408D-BC9D-5D8BBB3F7727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Cash Flow" sheetId="1" r:id="rId1"/>
    <sheet name="Reconciliat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/>
  <c r="AC7" i="1"/>
  <c r="AP7" i="1"/>
  <c r="BC7" i="1"/>
  <c r="BP7" i="1"/>
  <c r="P8" i="1"/>
  <c r="AC8" i="1"/>
  <c r="AC10" i="1" s="1"/>
  <c r="AP8" i="1"/>
  <c r="AP10" i="1" s="1"/>
  <c r="BC8" i="1"/>
  <c r="BP8" i="1"/>
  <c r="P9" i="1"/>
  <c r="AC9" i="1"/>
  <c r="AP9" i="1"/>
  <c r="BC9" i="1"/>
  <c r="BP9" i="1"/>
  <c r="BP10" i="1" s="1"/>
  <c r="D10" i="1"/>
  <c r="D132" i="1" s="1"/>
  <c r="E10" i="1"/>
  <c r="F10" i="1"/>
  <c r="G10" i="1"/>
  <c r="H10" i="1"/>
  <c r="I10" i="1"/>
  <c r="I104" i="1" s="1"/>
  <c r="I109" i="1" s="1"/>
  <c r="J10" i="1"/>
  <c r="K10" i="1"/>
  <c r="L10" i="1"/>
  <c r="M10" i="1"/>
  <c r="N10" i="1"/>
  <c r="O10" i="1"/>
  <c r="P10" i="1"/>
  <c r="Q10" i="1"/>
  <c r="Q104" i="1" s="1"/>
  <c r="R10" i="1"/>
  <c r="S10" i="1"/>
  <c r="T10" i="1"/>
  <c r="U10" i="1"/>
  <c r="V10" i="1"/>
  <c r="W10" i="1"/>
  <c r="X10" i="1"/>
  <c r="Y10" i="1"/>
  <c r="Z10" i="1"/>
  <c r="AA10" i="1"/>
  <c r="AB10" i="1"/>
  <c r="AD10" i="1"/>
  <c r="AE10" i="1"/>
  <c r="AF10" i="1"/>
  <c r="AG10" i="1"/>
  <c r="AG104" i="1" s="1"/>
  <c r="AH10" i="1"/>
  <c r="AI10" i="1"/>
  <c r="AJ10" i="1"/>
  <c r="AK10" i="1"/>
  <c r="AL10" i="1"/>
  <c r="AM10" i="1"/>
  <c r="AN10" i="1"/>
  <c r="AO10" i="1"/>
  <c r="AO104" i="1" s="1"/>
  <c r="AQ10" i="1"/>
  <c r="AR10" i="1"/>
  <c r="AS10" i="1"/>
  <c r="AT10" i="1"/>
  <c r="AU10" i="1"/>
  <c r="AV10" i="1"/>
  <c r="AW10" i="1"/>
  <c r="AW104" i="1" s="1"/>
  <c r="AX10" i="1"/>
  <c r="AY10" i="1"/>
  <c r="AZ10" i="1"/>
  <c r="BA10" i="1"/>
  <c r="BB10" i="1"/>
  <c r="BC10" i="1"/>
  <c r="BD10" i="1"/>
  <c r="BE10" i="1"/>
  <c r="BE104" i="1" s="1"/>
  <c r="BF10" i="1"/>
  <c r="BG10" i="1"/>
  <c r="BH10" i="1"/>
  <c r="BI10" i="1"/>
  <c r="BJ10" i="1"/>
  <c r="BK10" i="1"/>
  <c r="BL10" i="1"/>
  <c r="BM10" i="1"/>
  <c r="BM104" i="1" s="1"/>
  <c r="BN10" i="1"/>
  <c r="BO10" i="1"/>
  <c r="P13" i="1"/>
  <c r="P14" i="1" s="1"/>
  <c r="P61" i="1" s="1"/>
  <c r="AC13" i="1"/>
  <c r="AP13" i="1"/>
  <c r="BC13" i="1"/>
  <c r="BP13" i="1"/>
  <c r="BP14" i="1" s="1"/>
  <c r="BP61" i="1" s="1"/>
  <c r="D14" i="1"/>
  <c r="E14" i="1"/>
  <c r="F14" i="1"/>
  <c r="G14" i="1"/>
  <c r="H14" i="1"/>
  <c r="I14" i="1"/>
  <c r="J14" i="1"/>
  <c r="K14" i="1"/>
  <c r="K61" i="1" s="1"/>
  <c r="L14" i="1"/>
  <c r="M14" i="1"/>
  <c r="M61" i="1" s="1"/>
  <c r="M68" i="1" s="1"/>
  <c r="N14" i="1"/>
  <c r="O14" i="1"/>
  <c r="Q14" i="1"/>
  <c r="R14" i="1"/>
  <c r="S14" i="1"/>
  <c r="S61" i="1" s="1"/>
  <c r="T14" i="1"/>
  <c r="U14" i="1"/>
  <c r="U61" i="1" s="1"/>
  <c r="V14" i="1"/>
  <c r="V105" i="1" s="1"/>
  <c r="W14" i="1"/>
  <c r="X14" i="1"/>
  <c r="Y14" i="1"/>
  <c r="Z14" i="1"/>
  <c r="AA14" i="1"/>
  <c r="AA61" i="1" s="1"/>
  <c r="AB14" i="1"/>
  <c r="AC14" i="1"/>
  <c r="AC61" i="1" s="1"/>
  <c r="AD14" i="1"/>
  <c r="AD105" i="1" s="1"/>
  <c r="AE14" i="1"/>
  <c r="AF14" i="1"/>
  <c r="AG14" i="1"/>
  <c r="AH14" i="1"/>
  <c r="AI14" i="1"/>
  <c r="AI61" i="1" s="1"/>
  <c r="AJ14" i="1"/>
  <c r="AK14" i="1"/>
  <c r="AL14" i="1"/>
  <c r="AM14" i="1"/>
  <c r="AN14" i="1"/>
  <c r="AO14" i="1"/>
  <c r="AP14" i="1"/>
  <c r="AQ14" i="1"/>
  <c r="AQ61" i="1" s="1"/>
  <c r="AR14" i="1"/>
  <c r="AS14" i="1"/>
  <c r="AT14" i="1"/>
  <c r="AT105" i="1" s="1"/>
  <c r="AU14" i="1"/>
  <c r="AV14" i="1"/>
  <c r="AW14" i="1"/>
  <c r="AX14" i="1"/>
  <c r="AY14" i="1"/>
  <c r="AY61" i="1" s="1"/>
  <c r="AZ14" i="1"/>
  <c r="BA14" i="1"/>
  <c r="BA61" i="1" s="1"/>
  <c r="BB14" i="1"/>
  <c r="BB105" i="1" s="1"/>
  <c r="BC14" i="1"/>
  <c r="BD14" i="1"/>
  <c r="BE14" i="1"/>
  <c r="BF14" i="1"/>
  <c r="BG14" i="1"/>
  <c r="BG61" i="1" s="1"/>
  <c r="BH14" i="1"/>
  <c r="BI14" i="1"/>
  <c r="BI61" i="1" s="1"/>
  <c r="BJ14" i="1"/>
  <c r="BJ105" i="1" s="1"/>
  <c r="BK14" i="1"/>
  <c r="BL14" i="1"/>
  <c r="BM14" i="1"/>
  <c r="BN14" i="1"/>
  <c r="BO14" i="1"/>
  <c r="BO61" i="1" s="1"/>
  <c r="P17" i="1"/>
  <c r="AC17" i="1"/>
  <c r="AP17" i="1"/>
  <c r="BC17" i="1"/>
  <c r="BP17" i="1"/>
  <c r="P18" i="1"/>
  <c r="AC18" i="1"/>
  <c r="AP18" i="1"/>
  <c r="BC18" i="1"/>
  <c r="BP18" i="1"/>
  <c r="P19" i="1"/>
  <c r="AC19" i="1"/>
  <c r="AP19" i="1"/>
  <c r="BC19" i="1"/>
  <c r="BP19" i="1"/>
  <c r="P20" i="1"/>
  <c r="AC20" i="1"/>
  <c r="AP20" i="1"/>
  <c r="BC20" i="1"/>
  <c r="BP20" i="1"/>
  <c r="P21" i="1"/>
  <c r="AC21" i="1"/>
  <c r="AP21" i="1"/>
  <c r="BC21" i="1"/>
  <c r="BP21" i="1"/>
  <c r="P22" i="1"/>
  <c r="AC22" i="1"/>
  <c r="AP22" i="1"/>
  <c r="BC22" i="1"/>
  <c r="BP22" i="1"/>
  <c r="D23" i="1"/>
  <c r="E23" i="1"/>
  <c r="F23" i="1"/>
  <c r="F62" i="1" s="1"/>
  <c r="G23" i="1"/>
  <c r="H23" i="1"/>
  <c r="I23" i="1"/>
  <c r="J23" i="1"/>
  <c r="K23" i="1"/>
  <c r="L23" i="1"/>
  <c r="M23" i="1"/>
  <c r="N23" i="1"/>
  <c r="N62" i="1" s="1"/>
  <c r="O23" i="1"/>
  <c r="O106" i="1" s="1"/>
  <c r="O138" i="1" s="1"/>
  <c r="Q23" i="1"/>
  <c r="R23" i="1"/>
  <c r="S23" i="1"/>
  <c r="T23" i="1"/>
  <c r="U23" i="1"/>
  <c r="V23" i="1"/>
  <c r="V62" i="1" s="1"/>
  <c r="W23" i="1"/>
  <c r="W106" i="1" s="1"/>
  <c r="X23" i="1"/>
  <c r="Y23" i="1"/>
  <c r="Z23" i="1"/>
  <c r="AA23" i="1"/>
  <c r="AB23" i="1"/>
  <c r="AD23" i="1"/>
  <c r="AE23" i="1"/>
  <c r="AE106" i="1" s="1"/>
  <c r="AF23" i="1"/>
  <c r="AG23" i="1"/>
  <c r="AH23" i="1"/>
  <c r="AI23" i="1"/>
  <c r="AJ23" i="1"/>
  <c r="AK23" i="1"/>
  <c r="AL23" i="1"/>
  <c r="AL62" i="1" s="1"/>
  <c r="AM23" i="1"/>
  <c r="AM106" i="1" s="1"/>
  <c r="AN23" i="1"/>
  <c r="AO23" i="1"/>
  <c r="AQ23" i="1"/>
  <c r="AR23" i="1"/>
  <c r="AS23" i="1"/>
  <c r="AT23" i="1"/>
  <c r="AU23" i="1"/>
  <c r="AU106" i="1" s="1"/>
  <c r="AV23" i="1"/>
  <c r="AW23" i="1"/>
  <c r="AX23" i="1"/>
  <c r="AY23" i="1"/>
  <c r="AZ23" i="1"/>
  <c r="BA23" i="1"/>
  <c r="BB23" i="1"/>
  <c r="BB62" i="1" s="1"/>
  <c r="BC23" i="1"/>
  <c r="BC106" i="1" s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P26" i="1"/>
  <c r="AC26" i="1"/>
  <c r="AC30" i="1" s="1"/>
  <c r="AP26" i="1"/>
  <c r="BC26" i="1"/>
  <c r="BP26" i="1"/>
  <c r="P27" i="1"/>
  <c r="AC27" i="1"/>
  <c r="AP27" i="1"/>
  <c r="BC27" i="1"/>
  <c r="BP27" i="1"/>
  <c r="BP30" i="1" s="1"/>
  <c r="P28" i="1"/>
  <c r="AC28" i="1"/>
  <c r="AP28" i="1"/>
  <c r="BC28" i="1"/>
  <c r="BP28" i="1"/>
  <c r="P29" i="1"/>
  <c r="AC29" i="1"/>
  <c r="AP29" i="1"/>
  <c r="AP30" i="1" s="1"/>
  <c r="BC29" i="1"/>
  <c r="BC30" i="1" s="1"/>
  <c r="BC63" i="1" s="1"/>
  <c r="BP29" i="1"/>
  <c r="D30" i="1"/>
  <c r="E30" i="1"/>
  <c r="F30" i="1"/>
  <c r="G30" i="1"/>
  <c r="H30" i="1"/>
  <c r="I30" i="1"/>
  <c r="I63" i="1" s="1"/>
  <c r="J30" i="1"/>
  <c r="K30" i="1"/>
  <c r="L30" i="1"/>
  <c r="M30" i="1"/>
  <c r="N30" i="1"/>
  <c r="O30" i="1"/>
  <c r="Q30" i="1"/>
  <c r="R30" i="1"/>
  <c r="S30" i="1"/>
  <c r="T30" i="1"/>
  <c r="U30" i="1"/>
  <c r="V30" i="1"/>
  <c r="W30" i="1"/>
  <c r="W107" i="1" s="1"/>
  <c r="X30" i="1"/>
  <c r="Y30" i="1"/>
  <c r="Z30" i="1"/>
  <c r="AA30" i="1"/>
  <c r="AB30" i="1"/>
  <c r="AD30" i="1"/>
  <c r="AE30" i="1"/>
  <c r="AE63" i="1" s="1"/>
  <c r="AF30" i="1"/>
  <c r="AG30" i="1"/>
  <c r="AG63" i="1" s="1"/>
  <c r="AH30" i="1"/>
  <c r="AI30" i="1"/>
  <c r="AJ30" i="1"/>
  <c r="AK30" i="1"/>
  <c r="AL30" i="1"/>
  <c r="AM30" i="1"/>
  <c r="AN30" i="1"/>
  <c r="AO30" i="1"/>
  <c r="AQ30" i="1"/>
  <c r="AR30" i="1"/>
  <c r="AS30" i="1"/>
  <c r="AT30" i="1"/>
  <c r="AU30" i="1"/>
  <c r="AV30" i="1"/>
  <c r="AW30" i="1"/>
  <c r="AX30" i="1"/>
  <c r="AX63" i="1" s="1"/>
  <c r="AY30" i="1"/>
  <c r="AZ30" i="1"/>
  <c r="BA30" i="1"/>
  <c r="BB30" i="1"/>
  <c r="BD30" i="1"/>
  <c r="BE30" i="1"/>
  <c r="BE63" i="1" s="1"/>
  <c r="BF30" i="1"/>
  <c r="BF63" i="1" s="1"/>
  <c r="BG30" i="1"/>
  <c r="BH30" i="1"/>
  <c r="BI30" i="1"/>
  <c r="BJ30" i="1"/>
  <c r="BK30" i="1"/>
  <c r="BK63" i="1" s="1"/>
  <c r="BL30" i="1"/>
  <c r="BM30" i="1"/>
  <c r="BM63" i="1" s="1"/>
  <c r="BN30" i="1"/>
  <c r="BN63" i="1" s="1"/>
  <c r="BO30" i="1"/>
  <c r="P33" i="1"/>
  <c r="AC33" i="1"/>
  <c r="AP33" i="1"/>
  <c r="BC33" i="1"/>
  <c r="BP33" i="1"/>
  <c r="P34" i="1"/>
  <c r="P41" i="1" s="1"/>
  <c r="AC34" i="1"/>
  <c r="AP34" i="1"/>
  <c r="BC34" i="1"/>
  <c r="BP34" i="1"/>
  <c r="P35" i="1"/>
  <c r="AC35" i="1"/>
  <c r="AP35" i="1"/>
  <c r="BC35" i="1"/>
  <c r="BC41" i="1" s="1"/>
  <c r="BP35" i="1"/>
  <c r="P36" i="1"/>
  <c r="AC36" i="1"/>
  <c r="AP36" i="1"/>
  <c r="BC36" i="1"/>
  <c r="BP36" i="1"/>
  <c r="P37" i="1"/>
  <c r="AC37" i="1"/>
  <c r="AC41" i="1" s="1"/>
  <c r="AC64" i="1" s="1"/>
  <c r="AP37" i="1"/>
  <c r="BC37" i="1"/>
  <c r="BP37" i="1"/>
  <c r="P38" i="1"/>
  <c r="AC38" i="1"/>
  <c r="AP38" i="1"/>
  <c r="BC38" i="1"/>
  <c r="BP38" i="1"/>
  <c r="P39" i="1"/>
  <c r="AC39" i="1"/>
  <c r="AP39" i="1"/>
  <c r="BC39" i="1"/>
  <c r="BP39" i="1"/>
  <c r="P40" i="1"/>
  <c r="AC40" i="1"/>
  <c r="AP40" i="1"/>
  <c r="BC40" i="1"/>
  <c r="BP40" i="1"/>
  <c r="D41" i="1"/>
  <c r="E41" i="1"/>
  <c r="F41" i="1"/>
  <c r="G41" i="1"/>
  <c r="H41" i="1"/>
  <c r="H64" i="1" s="1"/>
  <c r="I41" i="1"/>
  <c r="J41" i="1"/>
  <c r="K41" i="1"/>
  <c r="L41" i="1"/>
  <c r="M41" i="1"/>
  <c r="N41" i="1"/>
  <c r="O41" i="1"/>
  <c r="Q41" i="1"/>
  <c r="R41" i="1"/>
  <c r="S41" i="1"/>
  <c r="T41" i="1"/>
  <c r="U41" i="1"/>
  <c r="V41" i="1"/>
  <c r="W41" i="1"/>
  <c r="X41" i="1"/>
  <c r="X64" i="1" s="1"/>
  <c r="Y41" i="1"/>
  <c r="Z41" i="1"/>
  <c r="AA41" i="1"/>
  <c r="AB41" i="1"/>
  <c r="AD41" i="1"/>
  <c r="AE41" i="1"/>
  <c r="AF41" i="1"/>
  <c r="AF64" i="1" s="1"/>
  <c r="AG41" i="1"/>
  <c r="AH41" i="1"/>
  <c r="AI41" i="1"/>
  <c r="AJ41" i="1"/>
  <c r="AK41" i="1"/>
  <c r="AL41" i="1"/>
  <c r="AM41" i="1"/>
  <c r="AN41" i="1"/>
  <c r="AO41" i="1"/>
  <c r="AQ41" i="1"/>
  <c r="AR41" i="1"/>
  <c r="AS41" i="1"/>
  <c r="AT41" i="1"/>
  <c r="AT133" i="1" s="1"/>
  <c r="AU41" i="1"/>
  <c r="AV41" i="1"/>
  <c r="AV64" i="1" s="1"/>
  <c r="AW41" i="1"/>
  <c r="AX41" i="1"/>
  <c r="AY41" i="1"/>
  <c r="AZ41" i="1"/>
  <c r="BA41" i="1"/>
  <c r="BB41" i="1"/>
  <c r="BD41" i="1"/>
  <c r="BD64" i="1" s="1"/>
  <c r="BE41" i="1"/>
  <c r="BE64" i="1" s="1"/>
  <c r="BF41" i="1"/>
  <c r="BG41" i="1"/>
  <c r="BH41" i="1"/>
  <c r="BI41" i="1"/>
  <c r="BJ41" i="1"/>
  <c r="BK41" i="1"/>
  <c r="BL41" i="1"/>
  <c r="BL64" i="1" s="1"/>
  <c r="BM41" i="1"/>
  <c r="BM64" i="1" s="1"/>
  <c r="BN41" i="1"/>
  <c r="BO41" i="1"/>
  <c r="P44" i="1"/>
  <c r="AC44" i="1"/>
  <c r="AP44" i="1"/>
  <c r="BC44" i="1"/>
  <c r="BC47" i="1" s="1"/>
  <c r="BC65" i="1" s="1"/>
  <c r="BP44" i="1"/>
  <c r="P45" i="1"/>
  <c r="AC45" i="1"/>
  <c r="AP45" i="1"/>
  <c r="BC45" i="1"/>
  <c r="BP45" i="1"/>
  <c r="P46" i="1"/>
  <c r="AC46" i="1"/>
  <c r="AP46" i="1"/>
  <c r="AP47" i="1" s="1"/>
  <c r="BC46" i="1"/>
  <c r="BP46" i="1"/>
  <c r="D47" i="1"/>
  <c r="E47" i="1"/>
  <c r="F47" i="1"/>
  <c r="F65" i="1" s="1"/>
  <c r="G47" i="1"/>
  <c r="H47" i="1"/>
  <c r="H65" i="1" s="1"/>
  <c r="I47" i="1"/>
  <c r="I65" i="1" s="1"/>
  <c r="J47" i="1"/>
  <c r="K47" i="1"/>
  <c r="L47" i="1"/>
  <c r="M47" i="1"/>
  <c r="N47" i="1"/>
  <c r="O47" i="1"/>
  <c r="P47" i="1"/>
  <c r="P65" i="1" s="1"/>
  <c r="Q47" i="1"/>
  <c r="Q65" i="1" s="1"/>
  <c r="R47" i="1"/>
  <c r="S47" i="1"/>
  <c r="T47" i="1"/>
  <c r="U47" i="1"/>
  <c r="V47" i="1"/>
  <c r="W47" i="1"/>
  <c r="X47" i="1"/>
  <c r="X65" i="1" s="1"/>
  <c r="Y47" i="1"/>
  <c r="Y65" i="1" s="1"/>
  <c r="Z47" i="1"/>
  <c r="AA47" i="1"/>
  <c r="AB47" i="1"/>
  <c r="AD47" i="1"/>
  <c r="AE47" i="1"/>
  <c r="AF47" i="1"/>
  <c r="AF65" i="1" s="1"/>
  <c r="AG47" i="1"/>
  <c r="AG65" i="1" s="1"/>
  <c r="AH47" i="1"/>
  <c r="AI47" i="1"/>
  <c r="AJ47" i="1"/>
  <c r="AK47" i="1"/>
  <c r="AL47" i="1"/>
  <c r="AL65" i="1" s="1"/>
  <c r="AM47" i="1"/>
  <c r="AN47" i="1"/>
  <c r="AN65" i="1" s="1"/>
  <c r="AO47" i="1"/>
  <c r="AQ47" i="1"/>
  <c r="AR47" i="1"/>
  <c r="AS47" i="1"/>
  <c r="AT47" i="1"/>
  <c r="AT65" i="1" s="1"/>
  <c r="AU47" i="1"/>
  <c r="AV47" i="1"/>
  <c r="AV65" i="1" s="1"/>
  <c r="AW47" i="1"/>
  <c r="AW65" i="1" s="1"/>
  <c r="AX47" i="1"/>
  <c r="AY47" i="1"/>
  <c r="AZ47" i="1"/>
  <c r="BA47" i="1"/>
  <c r="BB47" i="1"/>
  <c r="BB65" i="1" s="1"/>
  <c r="BD47" i="1"/>
  <c r="BD65" i="1" s="1"/>
  <c r="BE47" i="1"/>
  <c r="BF47" i="1"/>
  <c r="BG47" i="1"/>
  <c r="BH47" i="1"/>
  <c r="BI47" i="1"/>
  <c r="BJ47" i="1"/>
  <c r="BJ65" i="1" s="1"/>
  <c r="BK47" i="1"/>
  <c r="BL47" i="1"/>
  <c r="BL65" i="1" s="1"/>
  <c r="BM47" i="1"/>
  <c r="BN47" i="1"/>
  <c r="BO47" i="1"/>
  <c r="P50" i="1"/>
  <c r="AC50" i="1"/>
  <c r="AC51" i="1" s="1"/>
  <c r="AC66" i="1" s="1"/>
  <c r="AP50" i="1"/>
  <c r="BC50" i="1"/>
  <c r="BC51" i="1" s="1"/>
  <c r="BC66" i="1" s="1"/>
  <c r="BP50" i="1"/>
  <c r="BP51" i="1" s="1"/>
  <c r="BP66" i="1" s="1"/>
  <c r="D51" i="1"/>
  <c r="E51" i="1"/>
  <c r="F51" i="1"/>
  <c r="G51" i="1"/>
  <c r="H51" i="1"/>
  <c r="H66" i="1" s="1"/>
  <c r="I51" i="1"/>
  <c r="J51" i="1"/>
  <c r="J66" i="1" s="1"/>
  <c r="K51" i="1"/>
  <c r="K66" i="1" s="1"/>
  <c r="L51" i="1"/>
  <c r="M51" i="1"/>
  <c r="N51" i="1"/>
  <c r="O51" i="1"/>
  <c r="P51" i="1"/>
  <c r="P66" i="1" s="1"/>
  <c r="Q51" i="1"/>
  <c r="R51" i="1"/>
  <c r="R66" i="1" s="1"/>
  <c r="S51" i="1"/>
  <c r="S66" i="1" s="1"/>
  <c r="T51" i="1"/>
  <c r="U51" i="1"/>
  <c r="V51" i="1"/>
  <c r="W51" i="1"/>
  <c r="X51" i="1"/>
  <c r="X66" i="1" s="1"/>
  <c r="Y51" i="1"/>
  <c r="Z51" i="1"/>
  <c r="Z66" i="1" s="1"/>
  <c r="AA51" i="1"/>
  <c r="AA66" i="1" s="1"/>
  <c r="AB51" i="1"/>
  <c r="AD51" i="1"/>
  <c r="AE51" i="1"/>
  <c r="AF51" i="1"/>
  <c r="AF66" i="1" s="1"/>
  <c r="AG51" i="1"/>
  <c r="AH51" i="1"/>
  <c r="AH66" i="1" s="1"/>
  <c r="AI51" i="1"/>
  <c r="AI66" i="1" s="1"/>
  <c r="AJ51" i="1"/>
  <c r="AK51" i="1"/>
  <c r="AL51" i="1"/>
  <c r="AM51" i="1"/>
  <c r="AN51" i="1"/>
  <c r="AN66" i="1" s="1"/>
  <c r="AO51" i="1"/>
  <c r="AP51" i="1"/>
  <c r="AP66" i="1" s="1"/>
  <c r="AQ51" i="1"/>
  <c r="AQ66" i="1" s="1"/>
  <c r="AR51" i="1"/>
  <c r="AS51" i="1"/>
  <c r="AT51" i="1"/>
  <c r="AU51" i="1"/>
  <c r="AV51" i="1"/>
  <c r="AV66" i="1" s="1"/>
  <c r="AW51" i="1"/>
  <c r="AX51" i="1"/>
  <c r="AX66" i="1" s="1"/>
  <c r="AY51" i="1"/>
  <c r="AY66" i="1" s="1"/>
  <c r="AZ51" i="1"/>
  <c r="BA51" i="1"/>
  <c r="BB51" i="1"/>
  <c r="BD51" i="1"/>
  <c r="BD66" i="1" s="1"/>
  <c r="BE51" i="1"/>
  <c r="BF51" i="1"/>
  <c r="BF66" i="1" s="1"/>
  <c r="BG51" i="1"/>
  <c r="BH51" i="1"/>
  <c r="BI51" i="1"/>
  <c r="BJ51" i="1"/>
  <c r="BK51" i="1"/>
  <c r="BL51" i="1"/>
  <c r="BL66" i="1" s="1"/>
  <c r="BM51" i="1"/>
  <c r="BN51" i="1"/>
  <c r="BN66" i="1" s="1"/>
  <c r="BO51" i="1"/>
  <c r="BO66" i="1" s="1"/>
  <c r="P54" i="1"/>
  <c r="AC54" i="1"/>
  <c r="AP54" i="1"/>
  <c r="BC54" i="1"/>
  <c r="BC57" i="1" s="1"/>
  <c r="BC67" i="1" s="1"/>
  <c r="BP54" i="1"/>
  <c r="P55" i="1"/>
  <c r="AC55" i="1"/>
  <c r="AP55" i="1"/>
  <c r="BC55" i="1"/>
  <c r="BP55" i="1"/>
  <c r="P56" i="1"/>
  <c r="AC56" i="1"/>
  <c r="AP56" i="1"/>
  <c r="BC56" i="1"/>
  <c r="BP56" i="1"/>
  <c r="BP57" i="1" s="1"/>
  <c r="BP67" i="1" s="1"/>
  <c r="D57" i="1"/>
  <c r="E57" i="1"/>
  <c r="F57" i="1"/>
  <c r="G57" i="1"/>
  <c r="H57" i="1"/>
  <c r="I57" i="1"/>
  <c r="J57" i="1"/>
  <c r="K57" i="1"/>
  <c r="K108" i="1" s="1"/>
  <c r="L57" i="1"/>
  <c r="M57" i="1"/>
  <c r="N57" i="1"/>
  <c r="O57" i="1"/>
  <c r="P57" i="1"/>
  <c r="P67" i="1" s="1"/>
  <c r="Q57" i="1"/>
  <c r="R57" i="1"/>
  <c r="S57" i="1"/>
  <c r="S108" i="1" s="1"/>
  <c r="T57" i="1"/>
  <c r="U57" i="1"/>
  <c r="V57" i="1"/>
  <c r="W57" i="1"/>
  <c r="X57" i="1"/>
  <c r="X67" i="1" s="1"/>
  <c r="Y57" i="1"/>
  <c r="Z57" i="1"/>
  <c r="AA57" i="1"/>
  <c r="AB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P67" i="1" s="1"/>
  <c r="AQ57" i="1"/>
  <c r="AR57" i="1"/>
  <c r="AS57" i="1"/>
  <c r="AT57" i="1"/>
  <c r="AU57" i="1"/>
  <c r="AV57" i="1"/>
  <c r="AV108" i="1" s="1"/>
  <c r="AW57" i="1"/>
  <c r="AX57" i="1"/>
  <c r="AX67" i="1" s="1"/>
  <c r="AY57" i="1"/>
  <c r="AZ57" i="1"/>
  <c r="BA57" i="1"/>
  <c r="BB57" i="1"/>
  <c r="BD57" i="1"/>
  <c r="BD108" i="1" s="1"/>
  <c r="BE57" i="1"/>
  <c r="BF57" i="1"/>
  <c r="BF108" i="1" s="1"/>
  <c r="BG57" i="1"/>
  <c r="BG67" i="1" s="1"/>
  <c r="BH57" i="1"/>
  <c r="BI57" i="1"/>
  <c r="BJ57" i="1"/>
  <c r="BK57" i="1"/>
  <c r="BL57" i="1"/>
  <c r="BL108" i="1" s="1"/>
  <c r="BM57" i="1"/>
  <c r="BN57" i="1"/>
  <c r="BO57" i="1"/>
  <c r="E60" i="1"/>
  <c r="F60" i="1"/>
  <c r="G60" i="1"/>
  <c r="H60" i="1"/>
  <c r="I60" i="1"/>
  <c r="J60" i="1"/>
  <c r="M60" i="1"/>
  <c r="N60" i="1"/>
  <c r="O60" i="1"/>
  <c r="P60" i="1"/>
  <c r="R60" i="1"/>
  <c r="U60" i="1"/>
  <c r="V60" i="1"/>
  <c r="W60" i="1"/>
  <c r="X60" i="1"/>
  <c r="Z60" i="1"/>
  <c r="AD60" i="1"/>
  <c r="AE60" i="1"/>
  <c r="AF60" i="1"/>
  <c r="AG60" i="1"/>
  <c r="AH60" i="1"/>
  <c r="AK60" i="1"/>
  <c r="AL60" i="1"/>
  <c r="AM60" i="1"/>
  <c r="AN60" i="1"/>
  <c r="AO60" i="1"/>
  <c r="AS60" i="1"/>
  <c r="AT60" i="1"/>
  <c r="AU60" i="1"/>
  <c r="AV60" i="1"/>
  <c r="AW60" i="1"/>
  <c r="AX60" i="1"/>
  <c r="BA60" i="1"/>
  <c r="BB60" i="1"/>
  <c r="BC60" i="1"/>
  <c r="BD60" i="1"/>
  <c r="BE60" i="1"/>
  <c r="BF60" i="1"/>
  <c r="BI60" i="1"/>
  <c r="BJ60" i="1"/>
  <c r="BK60" i="1"/>
  <c r="BL60" i="1"/>
  <c r="BM60" i="1"/>
  <c r="BN60" i="1"/>
  <c r="D61" i="1"/>
  <c r="G61" i="1"/>
  <c r="H61" i="1"/>
  <c r="I61" i="1"/>
  <c r="J61" i="1"/>
  <c r="L61" i="1"/>
  <c r="O61" i="1"/>
  <c r="Q61" i="1"/>
  <c r="R61" i="1"/>
  <c r="T61" i="1"/>
  <c r="W61" i="1"/>
  <c r="X61" i="1"/>
  <c r="Y61" i="1"/>
  <c r="Z61" i="1"/>
  <c r="AB61" i="1"/>
  <c r="AD61" i="1"/>
  <c r="AE61" i="1"/>
  <c r="AF61" i="1"/>
  <c r="AG61" i="1"/>
  <c r="AH61" i="1"/>
  <c r="AJ61" i="1"/>
  <c r="AM61" i="1"/>
  <c r="AN61" i="1"/>
  <c r="AO61" i="1"/>
  <c r="AP61" i="1"/>
  <c r="AR61" i="1"/>
  <c r="AU61" i="1"/>
  <c r="AV61" i="1"/>
  <c r="AW61" i="1"/>
  <c r="AX61" i="1"/>
  <c r="AZ61" i="1"/>
  <c r="BC61" i="1"/>
  <c r="BD61" i="1"/>
  <c r="BE61" i="1"/>
  <c r="BF61" i="1"/>
  <c r="BH61" i="1"/>
  <c r="BJ61" i="1"/>
  <c r="BK61" i="1"/>
  <c r="BL61" i="1"/>
  <c r="BM61" i="1"/>
  <c r="BN61" i="1"/>
  <c r="E62" i="1"/>
  <c r="H62" i="1"/>
  <c r="I62" i="1"/>
  <c r="J62" i="1"/>
  <c r="K62" i="1"/>
  <c r="M62" i="1"/>
  <c r="Q62" i="1"/>
  <c r="R62" i="1"/>
  <c r="S62" i="1"/>
  <c r="U62" i="1"/>
  <c r="W62" i="1"/>
  <c r="W68" i="1" s="1"/>
  <c r="X62" i="1"/>
  <c r="Y62" i="1"/>
  <c r="Z62" i="1"/>
  <c r="AA62" i="1"/>
  <c r="AE62" i="1"/>
  <c r="AF62" i="1"/>
  <c r="AG62" i="1"/>
  <c r="AH62" i="1"/>
  <c r="AI62" i="1"/>
  <c r="AK62" i="1"/>
  <c r="AM62" i="1"/>
  <c r="AN62" i="1"/>
  <c r="AO62" i="1"/>
  <c r="AQ62" i="1"/>
  <c r="AS62" i="1"/>
  <c r="AU62" i="1"/>
  <c r="AV62" i="1"/>
  <c r="AW62" i="1"/>
  <c r="AX62" i="1"/>
  <c r="AY62" i="1"/>
  <c r="BA62" i="1"/>
  <c r="BC62" i="1"/>
  <c r="BD62" i="1"/>
  <c r="BE62" i="1"/>
  <c r="BF62" i="1"/>
  <c r="BG62" i="1"/>
  <c r="BI62" i="1"/>
  <c r="BL62" i="1"/>
  <c r="BM62" i="1"/>
  <c r="BN62" i="1"/>
  <c r="BO62" i="1"/>
  <c r="D63" i="1"/>
  <c r="E63" i="1"/>
  <c r="F63" i="1"/>
  <c r="H63" i="1"/>
  <c r="K63" i="1"/>
  <c r="L63" i="1"/>
  <c r="M63" i="1"/>
  <c r="N63" i="1"/>
  <c r="O63" i="1"/>
  <c r="S63" i="1"/>
  <c r="T63" i="1"/>
  <c r="U63" i="1"/>
  <c r="V63" i="1"/>
  <c r="W63" i="1"/>
  <c r="X63" i="1"/>
  <c r="AA63" i="1"/>
  <c r="AB63" i="1"/>
  <c r="AD63" i="1"/>
  <c r="AF63" i="1"/>
  <c r="AI63" i="1"/>
  <c r="AJ63" i="1"/>
  <c r="AK63" i="1"/>
  <c r="AL63" i="1"/>
  <c r="AM63" i="1"/>
  <c r="AM68" i="1" s="1"/>
  <c r="AN63" i="1"/>
  <c r="AQ63" i="1"/>
  <c r="AR63" i="1"/>
  <c r="AS63" i="1"/>
  <c r="AT63" i="1"/>
  <c r="AU63" i="1"/>
  <c r="AV63" i="1"/>
  <c r="AY63" i="1"/>
  <c r="AZ63" i="1"/>
  <c r="BA63" i="1"/>
  <c r="BB63" i="1"/>
  <c r="BD63" i="1"/>
  <c r="BG63" i="1"/>
  <c r="BH63" i="1"/>
  <c r="BI63" i="1"/>
  <c r="BJ63" i="1"/>
  <c r="BL63" i="1"/>
  <c r="BO63" i="1"/>
  <c r="D64" i="1"/>
  <c r="E64" i="1"/>
  <c r="F64" i="1"/>
  <c r="G64" i="1"/>
  <c r="J64" i="1"/>
  <c r="K64" i="1"/>
  <c r="L64" i="1"/>
  <c r="M64" i="1"/>
  <c r="N64" i="1"/>
  <c r="O64" i="1"/>
  <c r="R64" i="1"/>
  <c r="S64" i="1"/>
  <c r="T64" i="1"/>
  <c r="U64" i="1"/>
  <c r="V64" i="1"/>
  <c r="W64" i="1"/>
  <c r="Z64" i="1"/>
  <c r="AA64" i="1"/>
  <c r="AB64" i="1"/>
  <c r="AD64" i="1"/>
  <c r="AE64" i="1"/>
  <c r="AH64" i="1"/>
  <c r="AI64" i="1"/>
  <c r="AJ64" i="1"/>
  <c r="AK64" i="1"/>
  <c r="AL64" i="1"/>
  <c r="AM64" i="1"/>
  <c r="AQ64" i="1"/>
  <c r="AR64" i="1"/>
  <c r="AS64" i="1"/>
  <c r="AU64" i="1"/>
  <c r="AX64" i="1"/>
  <c r="AY64" i="1"/>
  <c r="AZ64" i="1"/>
  <c r="BA64" i="1"/>
  <c r="BF64" i="1"/>
  <c r="BG64" i="1"/>
  <c r="BH64" i="1"/>
  <c r="BI64" i="1"/>
  <c r="BK64" i="1"/>
  <c r="BN64" i="1"/>
  <c r="BO64" i="1"/>
  <c r="D65" i="1"/>
  <c r="E65" i="1"/>
  <c r="G65" i="1"/>
  <c r="J65" i="1"/>
  <c r="K65" i="1"/>
  <c r="L65" i="1"/>
  <c r="M65" i="1"/>
  <c r="O65" i="1"/>
  <c r="R65" i="1"/>
  <c r="S65" i="1"/>
  <c r="T65" i="1"/>
  <c r="U65" i="1"/>
  <c r="W65" i="1"/>
  <c r="Z65" i="1"/>
  <c r="AA65" i="1"/>
  <c r="AB65" i="1"/>
  <c r="AE65" i="1"/>
  <c r="AH65" i="1"/>
  <c r="AI65" i="1"/>
  <c r="AJ65" i="1"/>
  <c r="AK65" i="1"/>
  <c r="AM65" i="1"/>
  <c r="AP65" i="1"/>
  <c r="AQ65" i="1"/>
  <c r="AR65" i="1"/>
  <c r="AS65" i="1"/>
  <c r="AU65" i="1"/>
  <c r="AX65" i="1"/>
  <c r="AY65" i="1"/>
  <c r="AZ65" i="1"/>
  <c r="BA65" i="1"/>
  <c r="BF65" i="1"/>
  <c r="BG65" i="1"/>
  <c r="BH65" i="1"/>
  <c r="BI65" i="1"/>
  <c r="BK65" i="1"/>
  <c r="BN65" i="1"/>
  <c r="BO65" i="1"/>
  <c r="D66" i="1"/>
  <c r="E66" i="1"/>
  <c r="F66" i="1"/>
  <c r="G66" i="1"/>
  <c r="I66" i="1"/>
  <c r="L66" i="1"/>
  <c r="M66" i="1"/>
  <c r="N66" i="1"/>
  <c r="O66" i="1"/>
  <c r="Q66" i="1"/>
  <c r="T66" i="1"/>
  <c r="U66" i="1"/>
  <c r="V66" i="1"/>
  <c r="W66" i="1"/>
  <c r="Y66" i="1"/>
  <c r="AB66" i="1"/>
  <c r="AD66" i="1"/>
  <c r="AE66" i="1"/>
  <c r="AG66" i="1"/>
  <c r="AJ66" i="1"/>
  <c r="AK66" i="1"/>
  <c r="AL66" i="1"/>
  <c r="AM66" i="1"/>
  <c r="AO66" i="1"/>
  <c r="AR66" i="1"/>
  <c r="AS66" i="1"/>
  <c r="AT66" i="1"/>
  <c r="AU66" i="1"/>
  <c r="AW66" i="1"/>
  <c r="AZ66" i="1"/>
  <c r="BA66" i="1"/>
  <c r="BB66" i="1"/>
  <c r="BE66" i="1"/>
  <c r="BG66" i="1"/>
  <c r="BH66" i="1"/>
  <c r="BI66" i="1"/>
  <c r="BJ66" i="1"/>
  <c r="BK66" i="1"/>
  <c r="BM66" i="1"/>
  <c r="D67" i="1"/>
  <c r="E67" i="1"/>
  <c r="F67" i="1"/>
  <c r="G67" i="1"/>
  <c r="I67" i="1"/>
  <c r="J67" i="1"/>
  <c r="K67" i="1"/>
  <c r="L67" i="1"/>
  <c r="M67" i="1"/>
  <c r="N67" i="1"/>
  <c r="O67" i="1"/>
  <c r="Q67" i="1"/>
  <c r="R67" i="1"/>
  <c r="S67" i="1"/>
  <c r="T67" i="1"/>
  <c r="U67" i="1"/>
  <c r="V67" i="1"/>
  <c r="W67" i="1"/>
  <c r="Y67" i="1"/>
  <c r="Z67" i="1"/>
  <c r="AA67" i="1"/>
  <c r="AB67" i="1"/>
  <c r="AD67" i="1"/>
  <c r="AE67" i="1"/>
  <c r="AF67" i="1"/>
  <c r="AG67" i="1"/>
  <c r="AI67" i="1"/>
  <c r="AJ67" i="1"/>
  <c r="AK67" i="1"/>
  <c r="AL67" i="1"/>
  <c r="AM67" i="1"/>
  <c r="AN67" i="1"/>
  <c r="AO67" i="1"/>
  <c r="AQ67" i="1"/>
  <c r="AR67" i="1"/>
  <c r="AS67" i="1"/>
  <c r="AT67" i="1"/>
  <c r="AU67" i="1"/>
  <c r="AV67" i="1"/>
  <c r="AW67" i="1"/>
  <c r="AY67" i="1"/>
  <c r="AZ67" i="1"/>
  <c r="BA67" i="1"/>
  <c r="BB67" i="1"/>
  <c r="BD67" i="1"/>
  <c r="BE67" i="1"/>
  <c r="BH67" i="1"/>
  <c r="BI67" i="1"/>
  <c r="BJ67" i="1"/>
  <c r="BK67" i="1"/>
  <c r="BM67" i="1"/>
  <c r="P71" i="1"/>
  <c r="AC71" i="1"/>
  <c r="AP71" i="1"/>
  <c r="AP72" i="1" s="1"/>
  <c r="BC71" i="1"/>
  <c r="BP71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Q72" i="1"/>
  <c r="AR72" i="1"/>
  <c r="AS72" i="1"/>
  <c r="AT72" i="1"/>
  <c r="AU72" i="1"/>
  <c r="AV72" i="1"/>
  <c r="AW72" i="1"/>
  <c r="AW95" i="1" s="1"/>
  <c r="AX72" i="1"/>
  <c r="AY72" i="1"/>
  <c r="AZ72" i="1"/>
  <c r="BA72" i="1"/>
  <c r="BB72" i="1"/>
  <c r="BC72" i="1"/>
  <c r="BD72" i="1"/>
  <c r="BE72" i="1"/>
  <c r="BE95" i="1" s="1"/>
  <c r="BF72" i="1"/>
  <c r="BG72" i="1"/>
  <c r="BH72" i="1"/>
  <c r="BI72" i="1"/>
  <c r="BJ72" i="1"/>
  <c r="BK72" i="1"/>
  <c r="BL72" i="1"/>
  <c r="BM72" i="1"/>
  <c r="BM95" i="1" s="1"/>
  <c r="BN72" i="1"/>
  <c r="BO72" i="1"/>
  <c r="BP72" i="1"/>
  <c r="P75" i="1"/>
  <c r="AC75" i="1"/>
  <c r="AP75" i="1"/>
  <c r="BC75" i="1"/>
  <c r="BP75" i="1"/>
  <c r="BP76" i="1" s="1"/>
  <c r="D76" i="1"/>
  <c r="E76" i="1"/>
  <c r="E96" i="1" s="1"/>
  <c r="F76" i="1"/>
  <c r="F96" i="1" s="1"/>
  <c r="G76" i="1"/>
  <c r="H76" i="1"/>
  <c r="I76" i="1"/>
  <c r="J76" i="1"/>
  <c r="K76" i="1"/>
  <c r="L76" i="1"/>
  <c r="M76" i="1"/>
  <c r="M96" i="1" s="1"/>
  <c r="N76" i="1"/>
  <c r="N96" i="1" s="1"/>
  <c r="O76" i="1"/>
  <c r="P76" i="1"/>
  <c r="Q76" i="1"/>
  <c r="R76" i="1"/>
  <c r="S76" i="1"/>
  <c r="T76" i="1"/>
  <c r="U76" i="1"/>
  <c r="U96" i="1" s="1"/>
  <c r="V76" i="1"/>
  <c r="V96" i="1" s="1"/>
  <c r="W76" i="1"/>
  <c r="X76" i="1"/>
  <c r="Y76" i="1"/>
  <c r="Z76" i="1"/>
  <c r="AA76" i="1"/>
  <c r="AB76" i="1"/>
  <c r="AC76" i="1"/>
  <c r="AC96" i="1" s="1"/>
  <c r="AD76" i="1"/>
  <c r="AD96" i="1" s="1"/>
  <c r="AD101" i="1" s="1"/>
  <c r="AE76" i="1"/>
  <c r="AF76" i="1"/>
  <c r="AG76" i="1"/>
  <c r="AH76" i="1"/>
  <c r="AI76" i="1"/>
  <c r="AJ76" i="1"/>
  <c r="AK76" i="1"/>
  <c r="AK96" i="1" s="1"/>
  <c r="AL76" i="1"/>
  <c r="AL96" i="1" s="1"/>
  <c r="AM76" i="1"/>
  <c r="AN76" i="1"/>
  <c r="AO76" i="1"/>
  <c r="AP76" i="1"/>
  <c r="AQ76" i="1"/>
  <c r="AR76" i="1"/>
  <c r="AS76" i="1"/>
  <c r="AS96" i="1" s="1"/>
  <c r="AT76" i="1"/>
  <c r="AT96" i="1" s="1"/>
  <c r="AT101" i="1" s="1"/>
  <c r="AU76" i="1"/>
  <c r="AV76" i="1"/>
  <c r="AW76" i="1"/>
  <c r="AX76" i="1"/>
  <c r="AY76" i="1"/>
  <c r="AZ76" i="1"/>
  <c r="BA76" i="1"/>
  <c r="BA96" i="1" s="1"/>
  <c r="BB76" i="1"/>
  <c r="BB96" i="1" s="1"/>
  <c r="BB101" i="1" s="1"/>
  <c r="BC76" i="1"/>
  <c r="BD76" i="1"/>
  <c r="BE76" i="1"/>
  <c r="BF76" i="1"/>
  <c r="BG76" i="1"/>
  <c r="BH76" i="1"/>
  <c r="BI76" i="1"/>
  <c r="BI96" i="1" s="1"/>
  <c r="BJ76" i="1"/>
  <c r="BJ96" i="1" s="1"/>
  <c r="BK76" i="1"/>
  <c r="BL76" i="1"/>
  <c r="BM76" i="1"/>
  <c r="BN76" i="1"/>
  <c r="BO76" i="1"/>
  <c r="P79" i="1"/>
  <c r="AC79" i="1"/>
  <c r="AC80" i="1" s="1"/>
  <c r="AC97" i="1" s="1"/>
  <c r="AP79" i="1"/>
  <c r="BC79" i="1"/>
  <c r="BP79" i="1"/>
  <c r="D80" i="1"/>
  <c r="E80" i="1"/>
  <c r="E97" i="1" s="1"/>
  <c r="F80" i="1"/>
  <c r="G80" i="1"/>
  <c r="G97" i="1" s="1"/>
  <c r="G101" i="1" s="1"/>
  <c r="H80" i="1"/>
  <c r="H97" i="1" s="1"/>
  <c r="H101" i="1" s="1"/>
  <c r="I80" i="1"/>
  <c r="J80" i="1"/>
  <c r="K80" i="1"/>
  <c r="L80" i="1"/>
  <c r="M80" i="1"/>
  <c r="M97" i="1" s="1"/>
  <c r="N80" i="1"/>
  <c r="O80" i="1"/>
  <c r="O97" i="1" s="1"/>
  <c r="O101" i="1" s="1"/>
  <c r="P80" i="1"/>
  <c r="P97" i="1" s="1"/>
  <c r="P101" i="1" s="1"/>
  <c r="Q80" i="1"/>
  <c r="R80" i="1"/>
  <c r="S80" i="1"/>
  <c r="T80" i="1"/>
  <c r="U80" i="1"/>
  <c r="U97" i="1" s="1"/>
  <c r="V80" i="1"/>
  <c r="W80" i="1"/>
  <c r="W97" i="1" s="1"/>
  <c r="W101" i="1" s="1"/>
  <c r="X80" i="1"/>
  <c r="X97" i="1" s="1"/>
  <c r="X101" i="1" s="1"/>
  <c r="Y80" i="1"/>
  <c r="Z80" i="1"/>
  <c r="AA80" i="1"/>
  <c r="AB80" i="1"/>
  <c r="AD80" i="1"/>
  <c r="AE80" i="1"/>
  <c r="AE97" i="1" s="1"/>
  <c r="AF80" i="1"/>
  <c r="AF97" i="1" s="1"/>
  <c r="AF101" i="1" s="1"/>
  <c r="AG80" i="1"/>
  <c r="AH80" i="1"/>
  <c r="AI80" i="1"/>
  <c r="AJ80" i="1"/>
  <c r="AK80" i="1"/>
  <c r="AK97" i="1" s="1"/>
  <c r="AL80" i="1"/>
  <c r="AM80" i="1"/>
  <c r="AM97" i="1" s="1"/>
  <c r="AN80" i="1"/>
  <c r="AN97" i="1" s="1"/>
  <c r="AN101" i="1" s="1"/>
  <c r="AO80" i="1"/>
  <c r="AP80" i="1"/>
  <c r="AQ80" i="1"/>
  <c r="AR80" i="1"/>
  <c r="AS80" i="1"/>
  <c r="AS97" i="1" s="1"/>
  <c r="AT80" i="1"/>
  <c r="AU80" i="1"/>
  <c r="AU97" i="1" s="1"/>
  <c r="AU101" i="1" s="1"/>
  <c r="AV80" i="1"/>
  <c r="AV97" i="1" s="1"/>
  <c r="AV101" i="1" s="1"/>
  <c r="AW80" i="1"/>
  <c r="AX80" i="1"/>
  <c r="AY80" i="1"/>
  <c r="AZ80" i="1"/>
  <c r="BA80" i="1"/>
  <c r="BA97" i="1" s="1"/>
  <c r="BB80" i="1"/>
  <c r="BC80" i="1"/>
  <c r="BC97" i="1" s="1"/>
  <c r="BD80" i="1"/>
  <c r="BD97" i="1" s="1"/>
  <c r="BD101" i="1" s="1"/>
  <c r="BE80" i="1"/>
  <c r="BF80" i="1"/>
  <c r="BG80" i="1"/>
  <c r="BH80" i="1"/>
  <c r="BI80" i="1"/>
  <c r="BI97" i="1" s="1"/>
  <c r="BJ80" i="1"/>
  <c r="BK80" i="1"/>
  <c r="BK97" i="1" s="1"/>
  <c r="BK101" i="1" s="1"/>
  <c r="BL80" i="1"/>
  <c r="BL97" i="1" s="1"/>
  <c r="BL101" i="1" s="1"/>
  <c r="BM80" i="1"/>
  <c r="BN80" i="1"/>
  <c r="BO80" i="1"/>
  <c r="BP80" i="1"/>
  <c r="P83" i="1"/>
  <c r="P84" i="1" s="1"/>
  <c r="P98" i="1" s="1"/>
  <c r="AC83" i="1"/>
  <c r="AP83" i="1"/>
  <c r="BC83" i="1"/>
  <c r="BC84" i="1" s="1"/>
  <c r="BC98" i="1" s="1"/>
  <c r="BP83" i="1"/>
  <c r="D84" i="1"/>
  <c r="E84" i="1"/>
  <c r="F84" i="1"/>
  <c r="G84" i="1"/>
  <c r="H84" i="1"/>
  <c r="I84" i="1"/>
  <c r="I98" i="1" s="1"/>
  <c r="J84" i="1"/>
  <c r="J98" i="1" s="1"/>
  <c r="K84" i="1"/>
  <c r="L84" i="1"/>
  <c r="M84" i="1"/>
  <c r="N84" i="1"/>
  <c r="O84" i="1"/>
  <c r="Q84" i="1"/>
  <c r="R84" i="1"/>
  <c r="R98" i="1" s="1"/>
  <c r="S84" i="1"/>
  <c r="T84" i="1"/>
  <c r="U84" i="1"/>
  <c r="V84" i="1"/>
  <c r="W84" i="1"/>
  <c r="X84" i="1"/>
  <c r="Y84" i="1"/>
  <c r="Z84" i="1"/>
  <c r="Z98" i="1" s="1"/>
  <c r="AA84" i="1"/>
  <c r="AB84" i="1"/>
  <c r="AC84" i="1"/>
  <c r="AD84" i="1"/>
  <c r="AE84" i="1"/>
  <c r="AF84" i="1"/>
  <c r="AG84" i="1"/>
  <c r="AH84" i="1"/>
  <c r="AH98" i="1" s="1"/>
  <c r="AI84" i="1"/>
  <c r="AJ84" i="1"/>
  <c r="AK84" i="1"/>
  <c r="AL84" i="1"/>
  <c r="AM84" i="1"/>
  <c r="AN84" i="1"/>
  <c r="AO84" i="1"/>
  <c r="AP84" i="1"/>
  <c r="AP98" i="1" s="1"/>
  <c r="AQ84" i="1"/>
  <c r="AR84" i="1"/>
  <c r="AS84" i="1"/>
  <c r="AT84" i="1"/>
  <c r="AU84" i="1"/>
  <c r="AV84" i="1"/>
  <c r="AW84" i="1"/>
  <c r="AX84" i="1"/>
  <c r="AX98" i="1" s="1"/>
  <c r="AY84" i="1"/>
  <c r="AZ84" i="1"/>
  <c r="BA84" i="1"/>
  <c r="BB84" i="1"/>
  <c r="BD84" i="1"/>
  <c r="BE84" i="1"/>
  <c r="BF84" i="1"/>
  <c r="BF98" i="1" s="1"/>
  <c r="BG84" i="1"/>
  <c r="BH84" i="1"/>
  <c r="BI84" i="1"/>
  <c r="BJ84" i="1"/>
  <c r="BK84" i="1"/>
  <c r="BL84" i="1"/>
  <c r="BM84" i="1"/>
  <c r="BN84" i="1"/>
  <c r="BN98" i="1" s="1"/>
  <c r="BO84" i="1"/>
  <c r="BP84" i="1"/>
  <c r="P87" i="1"/>
  <c r="AC87" i="1"/>
  <c r="AP87" i="1"/>
  <c r="AP88" i="1" s="1"/>
  <c r="AP99" i="1" s="1"/>
  <c r="BC87" i="1"/>
  <c r="BP87" i="1"/>
  <c r="D88" i="1"/>
  <c r="D99" i="1" s="1"/>
  <c r="E88" i="1"/>
  <c r="F88" i="1"/>
  <c r="G88" i="1"/>
  <c r="H88" i="1"/>
  <c r="I88" i="1"/>
  <c r="J88" i="1"/>
  <c r="K88" i="1"/>
  <c r="K99" i="1" s="1"/>
  <c r="L88" i="1"/>
  <c r="L99" i="1" s="1"/>
  <c r="M88" i="1"/>
  <c r="N88" i="1"/>
  <c r="O88" i="1"/>
  <c r="P88" i="1"/>
  <c r="Q88" i="1"/>
  <c r="R88" i="1"/>
  <c r="S88" i="1"/>
  <c r="S99" i="1" s="1"/>
  <c r="T88" i="1"/>
  <c r="T99" i="1" s="1"/>
  <c r="U88" i="1"/>
  <c r="V88" i="1"/>
  <c r="W88" i="1"/>
  <c r="X88" i="1"/>
  <c r="Y88" i="1"/>
  <c r="Z88" i="1"/>
  <c r="AA88" i="1"/>
  <c r="AA99" i="1" s="1"/>
  <c r="AB88" i="1"/>
  <c r="AB99" i="1" s="1"/>
  <c r="AC88" i="1"/>
  <c r="AD88" i="1"/>
  <c r="AE88" i="1"/>
  <c r="AF88" i="1"/>
  <c r="AG88" i="1"/>
  <c r="AG99" i="1" s="1"/>
  <c r="AH88" i="1"/>
  <c r="AI88" i="1"/>
  <c r="AI99" i="1" s="1"/>
  <c r="AJ88" i="1"/>
  <c r="AJ99" i="1" s="1"/>
  <c r="AK88" i="1"/>
  <c r="AL88" i="1"/>
  <c r="AM88" i="1"/>
  <c r="AN88" i="1"/>
  <c r="AO88" i="1"/>
  <c r="AQ88" i="1"/>
  <c r="AQ99" i="1" s="1"/>
  <c r="AR88" i="1"/>
  <c r="AR99" i="1" s="1"/>
  <c r="AS88" i="1"/>
  <c r="AT88" i="1"/>
  <c r="AU88" i="1"/>
  <c r="AV88" i="1"/>
  <c r="AW88" i="1"/>
  <c r="AX88" i="1"/>
  <c r="AY88" i="1"/>
  <c r="AY99" i="1" s="1"/>
  <c r="AZ88" i="1"/>
  <c r="AZ99" i="1" s="1"/>
  <c r="BA88" i="1"/>
  <c r="BB88" i="1"/>
  <c r="BC88" i="1"/>
  <c r="BD88" i="1"/>
  <c r="BE88" i="1"/>
  <c r="BE99" i="1" s="1"/>
  <c r="BF88" i="1"/>
  <c r="BG88" i="1"/>
  <c r="BG99" i="1" s="1"/>
  <c r="BH88" i="1"/>
  <c r="BH99" i="1" s="1"/>
  <c r="BI88" i="1"/>
  <c r="BJ88" i="1"/>
  <c r="BK88" i="1"/>
  <c r="BL88" i="1"/>
  <c r="BM88" i="1"/>
  <c r="BN88" i="1"/>
  <c r="BO88" i="1"/>
  <c r="BO99" i="1" s="1"/>
  <c r="BP88" i="1"/>
  <c r="BP99" i="1" s="1"/>
  <c r="P91" i="1"/>
  <c r="AC91" i="1"/>
  <c r="AP91" i="1"/>
  <c r="BC91" i="1"/>
  <c r="BP91" i="1"/>
  <c r="BP92" i="1" s="1"/>
  <c r="BP100" i="1" s="1"/>
  <c r="D92" i="1"/>
  <c r="E92" i="1"/>
  <c r="F92" i="1"/>
  <c r="F100" i="1" s="1"/>
  <c r="G92" i="1"/>
  <c r="H92" i="1"/>
  <c r="I92" i="1"/>
  <c r="J92" i="1"/>
  <c r="K92" i="1"/>
  <c r="K100" i="1" s="1"/>
  <c r="L92" i="1"/>
  <c r="M92" i="1"/>
  <c r="N92" i="1"/>
  <c r="N100" i="1" s="1"/>
  <c r="O92" i="1"/>
  <c r="P92" i="1"/>
  <c r="Q92" i="1"/>
  <c r="R92" i="1"/>
  <c r="S92" i="1"/>
  <c r="S100" i="1" s="1"/>
  <c r="T92" i="1"/>
  <c r="U92" i="1"/>
  <c r="V92" i="1"/>
  <c r="V100" i="1" s="1"/>
  <c r="W92" i="1"/>
  <c r="X92" i="1"/>
  <c r="Y92" i="1"/>
  <c r="Z92" i="1"/>
  <c r="AA92" i="1"/>
  <c r="AA100" i="1" s="1"/>
  <c r="AB92" i="1"/>
  <c r="AC92" i="1"/>
  <c r="AD92" i="1"/>
  <c r="AD100" i="1" s="1"/>
  <c r="AE92" i="1"/>
  <c r="AF92" i="1"/>
  <c r="AG92" i="1"/>
  <c r="AH92" i="1"/>
  <c r="AI92" i="1"/>
  <c r="AI100" i="1" s="1"/>
  <c r="AJ92" i="1"/>
  <c r="AK92" i="1"/>
  <c r="AL92" i="1"/>
  <c r="AL100" i="1" s="1"/>
  <c r="AM92" i="1"/>
  <c r="AN92" i="1"/>
  <c r="AO92" i="1"/>
  <c r="AP92" i="1"/>
  <c r="AQ92" i="1"/>
  <c r="AQ100" i="1" s="1"/>
  <c r="AR92" i="1"/>
  <c r="AS92" i="1"/>
  <c r="AT92" i="1"/>
  <c r="AT100" i="1" s="1"/>
  <c r="AU92" i="1"/>
  <c r="AV92" i="1"/>
  <c r="AW92" i="1"/>
  <c r="AX92" i="1"/>
  <c r="AY92" i="1"/>
  <c r="AY100" i="1" s="1"/>
  <c r="AZ92" i="1"/>
  <c r="BA92" i="1"/>
  <c r="BB92" i="1"/>
  <c r="BB100" i="1" s="1"/>
  <c r="BC92" i="1"/>
  <c r="BD92" i="1"/>
  <c r="BE92" i="1"/>
  <c r="BF92" i="1"/>
  <c r="BG92" i="1"/>
  <c r="BG100" i="1" s="1"/>
  <c r="BH92" i="1"/>
  <c r="BI92" i="1"/>
  <c r="BJ92" i="1"/>
  <c r="BJ100" i="1" s="1"/>
  <c r="BK92" i="1"/>
  <c r="BL92" i="1"/>
  <c r="BM92" i="1"/>
  <c r="BN92" i="1"/>
  <c r="BO92" i="1"/>
  <c r="BO100" i="1" s="1"/>
  <c r="D95" i="1"/>
  <c r="E95" i="1"/>
  <c r="F95" i="1"/>
  <c r="G95" i="1"/>
  <c r="H95" i="1"/>
  <c r="J95" i="1"/>
  <c r="J101" i="1" s="1"/>
  <c r="L95" i="1"/>
  <c r="L101" i="1" s="1"/>
  <c r="M95" i="1"/>
  <c r="N95" i="1"/>
  <c r="O95" i="1"/>
  <c r="P95" i="1"/>
  <c r="R95" i="1"/>
  <c r="T95" i="1"/>
  <c r="T101" i="1" s="1"/>
  <c r="U95" i="1"/>
  <c r="V95" i="1"/>
  <c r="W95" i="1"/>
  <c r="X95" i="1"/>
  <c r="Z95" i="1"/>
  <c r="AC95" i="1"/>
  <c r="AD95" i="1"/>
  <c r="AE95" i="1"/>
  <c r="AF95" i="1"/>
  <c r="AH95" i="1"/>
  <c r="AH101" i="1" s="1"/>
  <c r="AJ95" i="1"/>
  <c r="AK95" i="1"/>
  <c r="AL95" i="1"/>
  <c r="AM95" i="1"/>
  <c r="AN95" i="1"/>
  <c r="AR95" i="1"/>
  <c r="AS95" i="1"/>
  <c r="AS101" i="1" s="1"/>
  <c r="AT95" i="1"/>
  <c r="AU95" i="1"/>
  <c r="AV95" i="1"/>
  <c r="AX95" i="1"/>
  <c r="AZ95" i="1"/>
  <c r="BA95" i="1"/>
  <c r="BB95" i="1"/>
  <c r="BC95" i="1"/>
  <c r="BD95" i="1"/>
  <c r="BF95" i="1"/>
  <c r="BI95" i="1"/>
  <c r="BJ95" i="1"/>
  <c r="BK95" i="1"/>
  <c r="BL95" i="1"/>
  <c r="BN95" i="1"/>
  <c r="BN101" i="1" s="1"/>
  <c r="BP95" i="1"/>
  <c r="BP101" i="1" s="1"/>
  <c r="D96" i="1"/>
  <c r="G96" i="1"/>
  <c r="H96" i="1"/>
  <c r="I96" i="1"/>
  <c r="J96" i="1"/>
  <c r="K96" i="1"/>
  <c r="L96" i="1"/>
  <c r="O96" i="1"/>
  <c r="P96" i="1"/>
  <c r="Q96" i="1"/>
  <c r="R96" i="1"/>
  <c r="S96" i="1"/>
  <c r="T96" i="1"/>
  <c r="W96" i="1"/>
  <c r="X96" i="1"/>
  <c r="Y96" i="1"/>
  <c r="Z96" i="1"/>
  <c r="AA96" i="1"/>
  <c r="AB96" i="1"/>
  <c r="AE96" i="1"/>
  <c r="AF96" i="1"/>
  <c r="AG96" i="1"/>
  <c r="AH96" i="1"/>
  <c r="AI96" i="1"/>
  <c r="AJ96" i="1"/>
  <c r="AM96" i="1"/>
  <c r="AN96" i="1"/>
  <c r="AO96" i="1"/>
  <c r="AP96" i="1"/>
  <c r="AQ96" i="1"/>
  <c r="AR96" i="1"/>
  <c r="AU96" i="1"/>
  <c r="AV96" i="1"/>
  <c r="AW96" i="1"/>
  <c r="AX96" i="1"/>
  <c r="AY96" i="1"/>
  <c r="AZ96" i="1"/>
  <c r="BC96" i="1"/>
  <c r="BD96" i="1"/>
  <c r="BE96" i="1"/>
  <c r="BF96" i="1"/>
  <c r="BG96" i="1"/>
  <c r="BH96" i="1"/>
  <c r="BK96" i="1"/>
  <c r="BL96" i="1"/>
  <c r="BM96" i="1"/>
  <c r="BN96" i="1"/>
  <c r="BO96" i="1"/>
  <c r="BP96" i="1"/>
  <c r="D97" i="1"/>
  <c r="F97" i="1"/>
  <c r="I97" i="1"/>
  <c r="J97" i="1"/>
  <c r="K97" i="1"/>
  <c r="L97" i="1"/>
  <c r="N97" i="1"/>
  <c r="Q97" i="1"/>
  <c r="R97" i="1"/>
  <c r="S97" i="1"/>
  <c r="T97" i="1"/>
  <c r="V97" i="1"/>
  <c r="Y97" i="1"/>
  <c r="Z97" i="1"/>
  <c r="AA97" i="1"/>
  <c r="AB97" i="1"/>
  <c r="AD97" i="1"/>
  <c r="AG97" i="1"/>
  <c r="AH97" i="1"/>
  <c r="AI97" i="1"/>
  <c r="AJ97" i="1"/>
  <c r="AL97" i="1"/>
  <c r="AO97" i="1"/>
  <c r="AP97" i="1"/>
  <c r="AQ97" i="1"/>
  <c r="AR97" i="1"/>
  <c r="AT97" i="1"/>
  <c r="AW97" i="1"/>
  <c r="AX97" i="1"/>
  <c r="AY97" i="1"/>
  <c r="AZ97" i="1"/>
  <c r="BB97" i="1"/>
  <c r="BE97" i="1"/>
  <c r="BF97" i="1"/>
  <c r="BG97" i="1"/>
  <c r="BH97" i="1"/>
  <c r="BJ97" i="1"/>
  <c r="BM97" i="1"/>
  <c r="BN97" i="1"/>
  <c r="BO97" i="1"/>
  <c r="BP97" i="1"/>
  <c r="D98" i="1"/>
  <c r="E98" i="1"/>
  <c r="F98" i="1"/>
  <c r="G98" i="1"/>
  <c r="H98" i="1"/>
  <c r="K98" i="1"/>
  <c r="L98" i="1"/>
  <c r="M98" i="1"/>
  <c r="N98" i="1"/>
  <c r="O98" i="1"/>
  <c r="Q98" i="1"/>
  <c r="S98" i="1"/>
  <c r="T98" i="1"/>
  <c r="U98" i="1"/>
  <c r="V98" i="1"/>
  <c r="W98" i="1"/>
  <c r="X98" i="1"/>
  <c r="Y98" i="1"/>
  <c r="AA98" i="1"/>
  <c r="AB98" i="1"/>
  <c r="AC98" i="1"/>
  <c r="AD98" i="1"/>
  <c r="AE98" i="1"/>
  <c r="AF98" i="1"/>
  <c r="AG98" i="1"/>
  <c r="AI98" i="1"/>
  <c r="AJ98" i="1"/>
  <c r="AK98" i="1"/>
  <c r="AL98" i="1"/>
  <c r="AM98" i="1"/>
  <c r="AN98" i="1"/>
  <c r="AO98" i="1"/>
  <c r="AQ98" i="1"/>
  <c r="AR98" i="1"/>
  <c r="AS98" i="1"/>
  <c r="AT98" i="1"/>
  <c r="AU98" i="1"/>
  <c r="AV98" i="1"/>
  <c r="AW98" i="1"/>
  <c r="AY98" i="1"/>
  <c r="AZ98" i="1"/>
  <c r="BA98" i="1"/>
  <c r="BB98" i="1"/>
  <c r="BD98" i="1"/>
  <c r="BE98" i="1"/>
  <c r="BG98" i="1"/>
  <c r="BH98" i="1"/>
  <c r="BI98" i="1"/>
  <c r="BJ98" i="1"/>
  <c r="BK98" i="1"/>
  <c r="BL98" i="1"/>
  <c r="BM98" i="1"/>
  <c r="BO98" i="1"/>
  <c r="BP98" i="1"/>
  <c r="E99" i="1"/>
  <c r="F99" i="1"/>
  <c r="G99" i="1"/>
  <c r="H99" i="1"/>
  <c r="I99" i="1"/>
  <c r="J99" i="1"/>
  <c r="M99" i="1"/>
  <c r="N99" i="1"/>
  <c r="O99" i="1"/>
  <c r="P99" i="1"/>
  <c r="Q99" i="1"/>
  <c r="R99" i="1"/>
  <c r="U99" i="1"/>
  <c r="V99" i="1"/>
  <c r="W99" i="1"/>
  <c r="X99" i="1"/>
  <c r="Y99" i="1"/>
  <c r="Z99" i="1"/>
  <c r="AC99" i="1"/>
  <c r="AD99" i="1"/>
  <c r="AE99" i="1"/>
  <c r="AF99" i="1"/>
  <c r="AH99" i="1"/>
  <c r="AK99" i="1"/>
  <c r="AL99" i="1"/>
  <c r="AM99" i="1"/>
  <c r="AN99" i="1"/>
  <c r="AO99" i="1"/>
  <c r="AS99" i="1"/>
  <c r="AT99" i="1"/>
  <c r="AU99" i="1"/>
  <c r="AV99" i="1"/>
  <c r="AW99" i="1"/>
  <c r="AX99" i="1"/>
  <c r="BA99" i="1"/>
  <c r="BB99" i="1"/>
  <c r="BC99" i="1"/>
  <c r="BD99" i="1"/>
  <c r="BF99" i="1"/>
  <c r="BI99" i="1"/>
  <c r="BJ99" i="1"/>
  <c r="BJ101" i="1" s="1"/>
  <c r="BK99" i="1"/>
  <c r="BL99" i="1"/>
  <c r="BM99" i="1"/>
  <c r="BN99" i="1"/>
  <c r="D100" i="1"/>
  <c r="E100" i="1"/>
  <c r="G100" i="1"/>
  <c r="H100" i="1"/>
  <c r="I100" i="1"/>
  <c r="J100" i="1"/>
  <c r="L100" i="1"/>
  <c r="M100" i="1"/>
  <c r="O100" i="1"/>
  <c r="P100" i="1"/>
  <c r="Q100" i="1"/>
  <c r="R100" i="1"/>
  <c r="T100" i="1"/>
  <c r="U100" i="1"/>
  <c r="W100" i="1"/>
  <c r="X100" i="1"/>
  <c r="Y100" i="1"/>
  <c r="Z100" i="1"/>
  <c r="AB100" i="1"/>
  <c r="AC100" i="1"/>
  <c r="AE100" i="1"/>
  <c r="AF100" i="1"/>
  <c r="AG100" i="1"/>
  <c r="AH100" i="1"/>
  <c r="AJ100" i="1"/>
  <c r="AK100" i="1"/>
  <c r="AM100" i="1"/>
  <c r="AN100" i="1"/>
  <c r="AO100" i="1"/>
  <c r="AP100" i="1"/>
  <c r="AR100" i="1"/>
  <c r="AS100" i="1"/>
  <c r="AU100" i="1"/>
  <c r="AV100" i="1"/>
  <c r="AW100" i="1"/>
  <c r="AX100" i="1"/>
  <c r="AZ100" i="1"/>
  <c r="BA100" i="1"/>
  <c r="BC100" i="1"/>
  <c r="BD100" i="1"/>
  <c r="BE100" i="1"/>
  <c r="BF100" i="1"/>
  <c r="BH100" i="1"/>
  <c r="BI100" i="1"/>
  <c r="BK100" i="1"/>
  <c r="BL100" i="1"/>
  <c r="BM100" i="1"/>
  <c r="BN100" i="1"/>
  <c r="F101" i="1"/>
  <c r="N101" i="1"/>
  <c r="AE101" i="1"/>
  <c r="AJ101" i="1"/>
  <c r="AL101" i="1"/>
  <c r="AM101" i="1"/>
  <c r="A104" i="1"/>
  <c r="E104" i="1"/>
  <c r="F104" i="1"/>
  <c r="G104" i="1"/>
  <c r="H104" i="1"/>
  <c r="J104" i="1"/>
  <c r="M104" i="1"/>
  <c r="N104" i="1"/>
  <c r="O104" i="1"/>
  <c r="P104" i="1"/>
  <c r="R104" i="1"/>
  <c r="U104" i="1"/>
  <c r="V104" i="1"/>
  <c r="W104" i="1"/>
  <c r="X104" i="1"/>
  <c r="Z104" i="1"/>
  <c r="AD104" i="1"/>
  <c r="AE104" i="1"/>
  <c r="AF104" i="1"/>
  <c r="AH104" i="1"/>
  <c r="AJ104" i="1"/>
  <c r="AK104" i="1"/>
  <c r="AK139" i="1" s="1"/>
  <c r="AL104" i="1"/>
  <c r="AM104" i="1"/>
  <c r="AN104" i="1"/>
  <c r="AS104" i="1"/>
  <c r="AS139" i="1" s="1"/>
  <c r="AT104" i="1"/>
  <c r="AU104" i="1"/>
  <c r="AV104" i="1"/>
  <c r="AX104" i="1"/>
  <c r="BA104" i="1"/>
  <c r="BB104" i="1"/>
  <c r="BC104" i="1"/>
  <c r="BD104" i="1"/>
  <c r="BF104" i="1"/>
  <c r="BH104" i="1"/>
  <c r="BI104" i="1"/>
  <c r="BI139" i="1" s="1"/>
  <c r="BJ104" i="1"/>
  <c r="BK104" i="1"/>
  <c r="BL104" i="1"/>
  <c r="BN104" i="1"/>
  <c r="A105" i="1"/>
  <c r="D105" i="1"/>
  <c r="G105" i="1"/>
  <c r="H105" i="1"/>
  <c r="I105" i="1"/>
  <c r="J105" i="1"/>
  <c r="K105" i="1"/>
  <c r="L105" i="1"/>
  <c r="M105" i="1"/>
  <c r="M109" i="1" s="1"/>
  <c r="O105" i="1"/>
  <c r="P105" i="1"/>
  <c r="Q105" i="1"/>
  <c r="R105" i="1"/>
  <c r="S105" i="1"/>
  <c r="T105" i="1"/>
  <c r="U105" i="1"/>
  <c r="U109" i="1" s="1"/>
  <c r="U127" i="1" s="1"/>
  <c r="W105" i="1"/>
  <c r="X105" i="1"/>
  <c r="X109" i="1" s="1"/>
  <c r="Y105" i="1"/>
  <c r="Z105" i="1"/>
  <c r="AA105" i="1"/>
  <c r="AB105" i="1"/>
  <c r="AC105" i="1"/>
  <c r="AE105" i="1"/>
  <c r="AF105" i="1"/>
  <c r="AF109" i="1" s="1"/>
  <c r="AG105" i="1"/>
  <c r="AH105" i="1"/>
  <c r="AH109" i="1" s="1"/>
  <c r="AI105" i="1"/>
  <c r="AJ105" i="1"/>
  <c r="AM105" i="1"/>
  <c r="AN105" i="1"/>
  <c r="AO105" i="1"/>
  <c r="AP105" i="1"/>
  <c r="AQ105" i="1"/>
  <c r="AR105" i="1"/>
  <c r="AU105" i="1"/>
  <c r="AV105" i="1"/>
  <c r="AW105" i="1"/>
  <c r="AX105" i="1"/>
  <c r="AY105" i="1"/>
  <c r="AZ105" i="1"/>
  <c r="BA105" i="1"/>
  <c r="BA109" i="1" s="1"/>
  <c r="BA110" i="1" s="1"/>
  <c r="BC105" i="1"/>
  <c r="BD105" i="1"/>
  <c r="BE105" i="1"/>
  <c r="BF105" i="1"/>
  <c r="BG105" i="1"/>
  <c r="BH105" i="1"/>
  <c r="BI105" i="1"/>
  <c r="BK105" i="1"/>
  <c r="BL105" i="1"/>
  <c r="BM105" i="1"/>
  <c r="BN105" i="1"/>
  <c r="BO105" i="1"/>
  <c r="BP105" i="1"/>
  <c r="A106" i="1"/>
  <c r="E106" i="1"/>
  <c r="F106" i="1"/>
  <c r="H106" i="1"/>
  <c r="I106" i="1"/>
  <c r="J106" i="1"/>
  <c r="K106" i="1"/>
  <c r="M106" i="1"/>
  <c r="N106" i="1"/>
  <c r="Q106" i="1"/>
  <c r="Q109" i="1" s="1"/>
  <c r="Q127" i="1" s="1"/>
  <c r="R106" i="1"/>
  <c r="S106" i="1"/>
  <c r="U106" i="1"/>
  <c r="V106" i="1"/>
  <c r="X106" i="1"/>
  <c r="X138" i="1" s="1"/>
  <c r="Y106" i="1"/>
  <c r="Z106" i="1"/>
  <c r="AA106" i="1"/>
  <c r="AF106" i="1"/>
  <c r="AG106" i="1"/>
  <c r="AH106" i="1"/>
  <c r="AI106" i="1"/>
  <c r="AK106" i="1"/>
  <c r="AL106" i="1"/>
  <c r="AN106" i="1"/>
  <c r="AO106" i="1"/>
  <c r="AQ106" i="1"/>
  <c r="AS106" i="1"/>
  <c r="AV106" i="1"/>
  <c r="AW106" i="1"/>
  <c r="AW109" i="1" s="1"/>
  <c r="AX106" i="1"/>
  <c r="AX109" i="1" s="1"/>
  <c r="AY106" i="1"/>
  <c r="BA106" i="1"/>
  <c r="BD106" i="1"/>
  <c r="BE106" i="1"/>
  <c r="BF106" i="1"/>
  <c r="BG106" i="1"/>
  <c r="BI106" i="1"/>
  <c r="BL106" i="1"/>
  <c r="BM106" i="1"/>
  <c r="BN106" i="1"/>
  <c r="BN109" i="1" s="1"/>
  <c r="BO106" i="1"/>
  <c r="A107" i="1"/>
  <c r="D107" i="1"/>
  <c r="E107" i="1"/>
  <c r="F107" i="1"/>
  <c r="H107" i="1"/>
  <c r="K107" i="1"/>
  <c r="L107" i="1"/>
  <c r="M107" i="1"/>
  <c r="N107" i="1"/>
  <c r="S107" i="1"/>
  <c r="T107" i="1"/>
  <c r="U107" i="1"/>
  <c r="V107" i="1"/>
  <c r="V135" i="1" s="1"/>
  <c r="X107" i="1"/>
  <c r="AA107" i="1"/>
  <c r="AB107" i="1"/>
  <c r="AD107" i="1"/>
  <c r="AE107" i="1"/>
  <c r="AF107" i="1"/>
  <c r="AF135" i="1" s="1"/>
  <c r="AI107" i="1"/>
  <c r="AJ107" i="1"/>
  <c r="AK107" i="1"/>
  <c r="AL107" i="1"/>
  <c r="AM107" i="1"/>
  <c r="AN107" i="1"/>
  <c r="AQ107" i="1"/>
  <c r="AR107" i="1"/>
  <c r="AS107" i="1"/>
  <c r="AT107" i="1"/>
  <c r="AU107" i="1"/>
  <c r="AV107" i="1"/>
  <c r="AV139" i="1" s="1"/>
  <c r="AX107" i="1"/>
  <c r="AX139" i="1" s="1"/>
  <c r="AY107" i="1"/>
  <c r="AZ107" i="1"/>
  <c r="BA107" i="1"/>
  <c r="BB107" i="1"/>
  <c r="BC107" i="1"/>
  <c r="BD107" i="1"/>
  <c r="BD139" i="1" s="1"/>
  <c r="BG107" i="1"/>
  <c r="BH107" i="1"/>
  <c r="BI107" i="1"/>
  <c r="BJ107" i="1"/>
  <c r="BK107" i="1"/>
  <c r="BL107" i="1"/>
  <c r="BO107" i="1"/>
  <c r="A108" i="1"/>
  <c r="D108" i="1"/>
  <c r="E108" i="1"/>
  <c r="G108" i="1"/>
  <c r="J108" i="1"/>
  <c r="L108" i="1"/>
  <c r="M108" i="1"/>
  <c r="O108" i="1"/>
  <c r="R108" i="1"/>
  <c r="T108" i="1"/>
  <c r="U108" i="1"/>
  <c r="W108" i="1"/>
  <c r="Z108" i="1"/>
  <c r="AA108" i="1"/>
  <c r="AB108" i="1"/>
  <c r="AE108" i="1"/>
  <c r="AI108" i="1"/>
  <c r="AJ108" i="1"/>
  <c r="AK108" i="1"/>
  <c r="AL108" i="1"/>
  <c r="AM108" i="1"/>
  <c r="AQ108" i="1"/>
  <c r="AR108" i="1"/>
  <c r="AS108" i="1"/>
  <c r="AU108" i="1"/>
  <c r="AY108" i="1"/>
  <c r="AZ108" i="1"/>
  <c r="BA108" i="1"/>
  <c r="BH108" i="1"/>
  <c r="BI108" i="1"/>
  <c r="BK108" i="1"/>
  <c r="A109" i="1"/>
  <c r="H109" i="1"/>
  <c r="J109" i="1"/>
  <c r="O109" i="1"/>
  <c r="R109" i="1"/>
  <c r="W109" i="1"/>
  <c r="Z109" i="1"/>
  <c r="AE109" i="1"/>
  <c r="AE127" i="1" s="1"/>
  <c r="AG109" i="1"/>
  <c r="AM109" i="1"/>
  <c r="AM127" i="1" s="1"/>
  <c r="AO109" i="1"/>
  <c r="AU109" i="1"/>
  <c r="AU110" i="1" s="1"/>
  <c r="AV109" i="1"/>
  <c r="AV110" i="1" s="1"/>
  <c r="BC109" i="1"/>
  <c r="BD109" i="1"/>
  <c r="BD110" i="1" s="1"/>
  <c r="BE109" i="1"/>
  <c r="BL109" i="1"/>
  <c r="A110" i="1"/>
  <c r="AE110" i="1"/>
  <c r="AE128" i="1" s="1"/>
  <c r="AM110" i="1"/>
  <c r="AM128" i="1" s="1"/>
  <c r="BL110" i="1"/>
  <c r="P113" i="1"/>
  <c r="AC113" i="1"/>
  <c r="AP113" i="1"/>
  <c r="AP115" i="1" s="1"/>
  <c r="AP122" i="1" s="1"/>
  <c r="BC113" i="1"/>
  <c r="BP113" i="1"/>
  <c r="BP115" i="1" s="1"/>
  <c r="BP122" i="1" s="1"/>
  <c r="BP124" i="1" s="1"/>
  <c r="P114" i="1"/>
  <c r="AC114" i="1"/>
  <c r="AP114" i="1"/>
  <c r="BC114" i="1"/>
  <c r="BP114" i="1"/>
  <c r="D115" i="1"/>
  <c r="D122" i="1" s="1"/>
  <c r="D124" i="1" s="1"/>
  <c r="E115" i="1"/>
  <c r="E122" i="1" s="1"/>
  <c r="F115" i="1"/>
  <c r="F122" i="1" s="1"/>
  <c r="G115" i="1"/>
  <c r="H115" i="1"/>
  <c r="I115" i="1"/>
  <c r="J115" i="1"/>
  <c r="J122" i="1" s="1"/>
  <c r="K115" i="1"/>
  <c r="L115" i="1"/>
  <c r="M115" i="1"/>
  <c r="M122" i="1" s="1"/>
  <c r="N115" i="1"/>
  <c r="N122" i="1" s="1"/>
  <c r="O115" i="1"/>
  <c r="O122" i="1" s="1"/>
  <c r="Q115" i="1"/>
  <c r="R115" i="1"/>
  <c r="R122" i="1" s="1"/>
  <c r="S115" i="1"/>
  <c r="T115" i="1"/>
  <c r="U115" i="1"/>
  <c r="V115" i="1"/>
  <c r="V122" i="1" s="1"/>
  <c r="W115" i="1"/>
  <c r="W122" i="1" s="1"/>
  <c r="X115" i="1"/>
  <c r="Y115" i="1"/>
  <c r="Z115" i="1"/>
  <c r="Z122" i="1" s="1"/>
  <c r="AA115" i="1"/>
  <c r="AB115" i="1"/>
  <c r="AC115" i="1"/>
  <c r="AD115" i="1"/>
  <c r="AE115" i="1"/>
  <c r="AE122" i="1" s="1"/>
  <c r="AF115" i="1"/>
  <c r="AG115" i="1"/>
  <c r="AH115" i="1"/>
  <c r="AH122" i="1" s="1"/>
  <c r="AI115" i="1"/>
  <c r="AJ115" i="1"/>
  <c r="AK115" i="1"/>
  <c r="AL115" i="1"/>
  <c r="AM115" i="1"/>
  <c r="AM122" i="1" s="1"/>
  <c r="AN115" i="1"/>
  <c r="AO115" i="1"/>
  <c r="AQ115" i="1"/>
  <c r="AR115" i="1"/>
  <c r="AS115" i="1"/>
  <c r="AS122" i="1" s="1"/>
  <c r="AS124" i="1" s="1"/>
  <c r="AT115" i="1"/>
  <c r="AU115" i="1"/>
  <c r="AV115" i="1"/>
  <c r="AW115" i="1"/>
  <c r="AX115" i="1"/>
  <c r="AX122" i="1" s="1"/>
  <c r="AY115" i="1"/>
  <c r="AZ115" i="1"/>
  <c r="BA115" i="1"/>
  <c r="BA122" i="1" s="1"/>
  <c r="BA124" i="1" s="1"/>
  <c r="BB115" i="1"/>
  <c r="BC115" i="1"/>
  <c r="BD115" i="1"/>
  <c r="BE115" i="1"/>
  <c r="BF115" i="1"/>
  <c r="BF122" i="1" s="1"/>
  <c r="BG115" i="1"/>
  <c r="BG122" i="1" s="1"/>
  <c r="BG124" i="1" s="1"/>
  <c r="BH115" i="1"/>
  <c r="BH122" i="1" s="1"/>
  <c r="BH124" i="1" s="1"/>
  <c r="BI115" i="1"/>
  <c r="BI122" i="1" s="1"/>
  <c r="BI124" i="1" s="1"/>
  <c r="BJ115" i="1"/>
  <c r="BK115" i="1"/>
  <c r="BL115" i="1"/>
  <c r="BM115" i="1"/>
  <c r="BN115" i="1"/>
  <c r="BN122" i="1" s="1"/>
  <c r="BO115" i="1"/>
  <c r="P118" i="1"/>
  <c r="AC118" i="1"/>
  <c r="AC119" i="1" s="1"/>
  <c r="AC123" i="1" s="1"/>
  <c r="AC124" i="1" s="1"/>
  <c r="AP118" i="1"/>
  <c r="AP119" i="1" s="1"/>
  <c r="BC118" i="1"/>
  <c r="BP118" i="1"/>
  <c r="D119" i="1"/>
  <c r="E119" i="1"/>
  <c r="F119" i="1"/>
  <c r="G119" i="1"/>
  <c r="G123" i="1" s="1"/>
  <c r="H119" i="1"/>
  <c r="H123" i="1" s="1"/>
  <c r="I119" i="1"/>
  <c r="I123" i="1" s="1"/>
  <c r="J119" i="1"/>
  <c r="K119" i="1"/>
  <c r="L119" i="1"/>
  <c r="M119" i="1"/>
  <c r="M123" i="1" s="1"/>
  <c r="N119" i="1"/>
  <c r="N123" i="1" s="1"/>
  <c r="O119" i="1"/>
  <c r="O123" i="1" s="1"/>
  <c r="P119" i="1"/>
  <c r="P123" i="1" s="1"/>
  <c r="Q119" i="1"/>
  <c r="Q123" i="1" s="1"/>
  <c r="R119" i="1"/>
  <c r="S119" i="1"/>
  <c r="T119" i="1"/>
  <c r="U119" i="1"/>
  <c r="V119" i="1"/>
  <c r="W119" i="1"/>
  <c r="W123" i="1" s="1"/>
  <c r="X119" i="1"/>
  <c r="X123" i="1" s="1"/>
  <c r="Y119" i="1"/>
  <c r="Y123" i="1" s="1"/>
  <c r="Y124" i="1" s="1"/>
  <c r="Z119" i="1"/>
  <c r="AA119" i="1"/>
  <c r="AB119" i="1"/>
  <c r="AD119" i="1"/>
  <c r="AE119" i="1"/>
  <c r="AF119" i="1"/>
  <c r="AG119" i="1"/>
  <c r="AG123" i="1" s="1"/>
  <c r="AG124" i="1" s="1"/>
  <c r="AH119" i="1"/>
  <c r="AI119" i="1"/>
  <c r="AJ119" i="1"/>
  <c r="AK119" i="1"/>
  <c r="AL119" i="1"/>
  <c r="AM119" i="1"/>
  <c r="AM123" i="1" s="1"/>
  <c r="AN119" i="1"/>
  <c r="AN123" i="1" s="1"/>
  <c r="AO119" i="1"/>
  <c r="AO123" i="1" s="1"/>
  <c r="AO124" i="1" s="1"/>
  <c r="AQ119" i="1"/>
  <c r="AR119" i="1"/>
  <c r="AR123" i="1" s="1"/>
  <c r="AS119" i="1"/>
  <c r="AT119" i="1"/>
  <c r="AU119" i="1"/>
  <c r="AV119" i="1"/>
  <c r="AV123" i="1" s="1"/>
  <c r="AW119" i="1"/>
  <c r="AW123" i="1" s="1"/>
  <c r="AW124" i="1" s="1"/>
  <c r="AX119" i="1"/>
  <c r="AY119" i="1"/>
  <c r="AZ119" i="1"/>
  <c r="BA119" i="1"/>
  <c r="BB119" i="1"/>
  <c r="BC119" i="1"/>
  <c r="BC123" i="1" s="1"/>
  <c r="BD119" i="1"/>
  <c r="BD123" i="1" s="1"/>
  <c r="BE119" i="1"/>
  <c r="BE123" i="1" s="1"/>
  <c r="BE124" i="1" s="1"/>
  <c r="BF119" i="1"/>
  <c r="BG119" i="1"/>
  <c r="BH119" i="1"/>
  <c r="BI119" i="1"/>
  <c r="BJ119" i="1"/>
  <c r="BK119" i="1"/>
  <c r="BL119" i="1"/>
  <c r="BL123" i="1" s="1"/>
  <c r="BM119" i="1"/>
  <c r="BM123" i="1" s="1"/>
  <c r="BM124" i="1" s="1"/>
  <c r="BN119" i="1"/>
  <c r="BO119" i="1"/>
  <c r="BP119" i="1"/>
  <c r="BP123" i="1" s="1"/>
  <c r="G122" i="1"/>
  <c r="H122" i="1"/>
  <c r="I122" i="1"/>
  <c r="K122" i="1"/>
  <c r="L122" i="1"/>
  <c r="L124" i="1" s="1"/>
  <c r="Q122" i="1"/>
  <c r="S122" i="1"/>
  <c r="S124" i="1" s="1"/>
  <c r="T122" i="1"/>
  <c r="T124" i="1" s="1"/>
  <c r="U122" i="1"/>
  <c r="X122" i="1"/>
  <c r="Y122" i="1"/>
  <c r="AA122" i="1"/>
  <c r="AB122" i="1"/>
  <c r="AB124" i="1" s="1"/>
  <c r="AC122" i="1"/>
  <c r="AD122" i="1"/>
  <c r="AF122" i="1"/>
  <c r="AG122" i="1"/>
  <c r="AI122" i="1"/>
  <c r="AI124" i="1" s="1"/>
  <c r="AJ122" i="1"/>
  <c r="AJ124" i="1" s="1"/>
  <c r="AK122" i="1"/>
  <c r="AK124" i="1" s="1"/>
  <c r="AL122" i="1"/>
  <c r="AL124" i="1" s="1"/>
  <c r="AN122" i="1"/>
  <c r="AO122" i="1"/>
  <c r="AQ122" i="1"/>
  <c r="AR122" i="1"/>
  <c r="AT122" i="1"/>
  <c r="AT124" i="1" s="1"/>
  <c r="AU122" i="1"/>
  <c r="AU124" i="1" s="1"/>
  <c r="AV122" i="1"/>
  <c r="AW122" i="1"/>
  <c r="AY122" i="1"/>
  <c r="AZ122" i="1"/>
  <c r="BB122" i="1"/>
  <c r="BB124" i="1" s="1"/>
  <c r="BC122" i="1"/>
  <c r="BC124" i="1" s="1"/>
  <c r="BD122" i="1"/>
  <c r="BD124" i="1" s="1"/>
  <c r="BE122" i="1"/>
  <c r="BJ122" i="1"/>
  <c r="BK122" i="1"/>
  <c r="BL122" i="1"/>
  <c r="BM122" i="1"/>
  <c r="BO122" i="1"/>
  <c r="BO124" i="1" s="1"/>
  <c r="D123" i="1"/>
  <c r="E123" i="1"/>
  <c r="F123" i="1"/>
  <c r="J123" i="1"/>
  <c r="K123" i="1"/>
  <c r="L123" i="1"/>
  <c r="R123" i="1"/>
  <c r="S123" i="1"/>
  <c r="T123" i="1"/>
  <c r="U123" i="1"/>
  <c r="V123" i="1"/>
  <c r="Z123" i="1"/>
  <c r="AA123" i="1"/>
  <c r="AB123" i="1"/>
  <c r="AD123" i="1"/>
  <c r="AE123" i="1"/>
  <c r="AH123" i="1"/>
  <c r="AH124" i="1" s="1"/>
  <c r="AI123" i="1"/>
  <c r="AJ123" i="1"/>
  <c r="AK123" i="1"/>
  <c r="AL123" i="1"/>
  <c r="AP123" i="1"/>
  <c r="AP124" i="1" s="1"/>
  <c r="AQ123" i="1"/>
  <c r="AQ124" i="1" s="1"/>
  <c r="AS123" i="1"/>
  <c r="AT123" i="1"/>
  <c r="AU123" i="1"/>
  <c r="AX123" i="1"/>
  <c r="AY123" i="1"/>
  <c r="AY124" i="1" s="1"/>
  <c r="AZ123" i="1"/>
  <c r="AZ124" i="1" s="1"/>
  <c r="BA123" i="1"/>
  <c r="BB123" i="1"/>
  <c r="BF123" i="1"/>
  <c r="BG123" i="1"/>
  <c r="BH123" i="1"/>
  <c r="BI123" i="1"/>
  <c r="BJ123" i="1"/>
  <c r="BJ124" i="1" s="1"/>
  <c r="BK123" i="1"/>
  <c r="BN123" i="1"/>
  <c r="BN124" i="1" s="1"/>
  <c r="BO123" i="1"/>
  <c r="E124" i="1"/>
  <c r="F124" i="1"/>
  <c r="I124" i="1"/>
  <c r="J124" i="1"/>
  <c r="K124" i="1"/>
  <c r="Q124" i="1"/>
  <c r="R124" i="1"/>
  <c r="U124" i="1"/>
  <c r="Z124" i="1"/>
  <c r="AA124" i="1"/>
  <c r="AD124" i="1"/>
  <c r="AX124" i="1"/>
  <c r="BF124" i="1"/>
  <c r="H127" i="1"/>
  <c r="I127" i="1"/>
  <c r="J127" i="1"/>
  <c r="R127" i="1"/>
  <c r="AF127" i="1"/>
  <c r="AO127" i="1"/>
  <c r="AS127" i="1"/>
  <c r="AT127" i="1"/>
  <c r="AU127" i="1"/>
  <c r="AV127" i="1"/>
  <c r="AW127" i="1"/>
  <c r="AX127" i="1"/>
  <c r="BA127" i="1"/>
  <c r="BB127" i="1"/>
  <c r="BC127" i="1"/>
  <c r="BD127" i="1"/>
  <c r="BE127" i="1"/>
  <c r="BF127" i="1"/>
  <c r="BI127" i="1"/>
  <c r="BJ127" i="1"/>
  <c r="BK127" i="1"/>
  <c r="BL127" i="1"/>
  <c r="BM127" i="1"/>
  <c r="BN127" i="1"/>
  <c r="AQ128" i="1"/>
  <c r="AS128" i="1"/>
  <c r="AT128" i="1"/>
  <c r="AU128" i="1"/>
  <c r="AV128" i="1"/>
  <c r="AW128" i="1"/>
  <c r="AX128" i="1"/>
  <c r="AY128" i="1"/>
  <c r="BA128" i="1"/>
  <c r="BB128" i="1"/>
  <c r="BC128" i="1"/>
  <c r="BD128" i="1"/>
  <c r="BE128" i="1"/>
  <c r="BF128" i="1"/>
  <c r="BG128" i="1"/>
  <c r="BI128" i="1"/>
  <c r="BJ128" i="1"/>
  <c r="BK128" i="1"/>
  <c r="BL128" i="1"/>
  <c r="BM128" i="1"/>
  <c r="BN128" i="1"/>
  <c r="BO128" i="1"/>
  <c r="E129" i="1"/>
  <c r="F129" i="1"/>
  <c r="H129" i="1"/>
  <c r="J129" i="1"/>
  <c r="K129" i="1"/>
  <c r="M129" i="1"/>
  <c r="N129" i="1"/>
  <c r="U129" i="1"/>
  <c r="V129" i="1"/>
  <c r="X129" i="1"/>
  <c r="AD129" i="1"/>
  <c r="AE129" i="1"/>
  <c r="AF129" i="1"/>
  <c r="AK129" i="1"/>
  <c r="AL129" i="1"/>
  <c r="AM129" i="1"/>
  <c r="AN129" i="1"/>
  <c r="AS129" i="1"/>
  <c r="AT129" i="1"/>
  <c r="AU129" i="1"/>
  <c r="AV129" i="1"/>
  <c r="AW129" i="1"/>
  <c r="AX129" i="1"/>
  <c r="BA129" i="1"/>
  <c r="BB129" i="1"/>
  <c r="BC129" i="1"/>
  <c r="BD129" i="1"/>
  <c r="BE129" i="1"/>
  <c r="BF129" i="1"/>
  <c r="BI129" i="1"/>
  <c r="BJ129" i="1"/>
  <c r="BK129" i="1"/>
  <c r="BL129" i="1"/>
  <c r="BM129" i="1"/>
  <c r="BN129" i="1"/>
  <c r="BO129" i="1"/>
  <c r="E130" i="1"/>
  <c r="F130" i="1"/>
  <c r="G130" i="1"/>
  <c r="H130" i="1"/>
  <c r="I130" i="1"/>
  <c r="J130" i="1"/>
  <c r="M130" i="1"/>
  <c r="N130" i="1"/>
  <c r="O130" i="1"/>
  <c r="R130" i="1"/>
  <c r="U130" i="1"/>
  <c r="V130" i="1"/>
  <c r="W130" i="1"/>
  <c r="X130" i="1"/>
  <c r="Z130" i="1"/>
  <c r="AC130" i="1"/>
  <c r="AD130" i="1"/>
  <c r="AE130" i="1"/>
  <c r="AF130" i="1"/>
  <c r="AG130" i="1"/>
  <c r="AH130" i="1"/>
  <c r="AK130" i="1"/>
  <c r="AL130" i="1"/>
  <c r="AM130" i="1"/>
  <c r="AN130" i="1"/>
  <c r="AO130" i="1"/>
  <c r="AS130" i="1"/>
  <c r="AT130" i="1"/>
  <c r="AU130" i="1"/>
  <c r="AV130" i="1"/>
  <c r="AW130" i="1"/>
  <c r="AX130" i="1"/>
  <c r="AY130" i="1"/>
  <c r="BA130" i="1"/>
  <c r="BB130" i="1"/>
  <c r="BC130" i="1"/>
  <c r="BD130" i="1"/>
  <c r="BE130" i="1"/>
  <c r="BF130" i="1"/>
  <c r="BG130" i="1"/>
  <c r="BI130" i="1"/>
  <c r="BJ130" i="1"/>
  <c r="BK130" i="1"/>
  <c r="BL130" i="1"/>
  <c r="BM130" i="1"/>
  <c r="BN130" i="1"/>
  <c r="BO130" i="1"/>
  <c r="D131" i="1"/>
  <c r="E131" i="1"/>
  <c r="F131" i="1"/>
  <c r="H131" i="1"/>
  <c r="I131" i="1"/>
  <c r="J131" i="1"/>
  <c r="M131" i="1"/>
  <c r="N131" i="1"/>
  <c r="R131" i="1"/>
  <c r="U131" i="1"/>
  <c r="V131" i="1"/>
  <c r="W131" i="1"/>
  <c r="X131" i="1"/>
  <c r="Z131" i="1"/>
  <c r="AD131" i="1"/>
  <c r="AE131" i="1"/>
  <c r="AF131" i="1"/>
  <c r="AH131" i="1"/>
  <c r="AK131" i="1"/>
  <c r="AL131" i="1"/>
  <c r="AM131" i="1"/>
  <c r="AN131" i="1"/>
  <c r="AO131" i="1"/>
  <c r="AS131" i="1"/>
  <c r="AT131" i="1"/>
  <c r="AU131" i="1"/>
  <c r="AV131" i="1"/>
  <c r="AW131" i="1"/>
  <c r="AX131" i="1"/>
  <c r="BA131" i="1"/>
  <c r="BB131" i="1"/>
  <c r="BC131" i="1"/>
  <c r="BD131" i="1"/>
  <c r="BE131" i="1"/>
  <c r="BF131" i="1"/>
  <c r="BH131" i="1"/>
  <c r="BI131" i="1"/>
  <c r="BJ131" i="1"/>
  <c r="BK131" i="1"/>
  <c r="BL131" i="1"/>
  <c r="BM131" i="1"/>
  <c r="BN131" i="1"/>
  <c r="E132" i="1"/>
  <c r="F132" i="1"/>
  <c r="G132" i="1"/>
  <c r="H132" i="1"/>
  <c r="J132" i="1"/>
  <c r="M132" i="1"/>
  <c r="N132" i="1"/>
  <c r="O132" i="1"/>
  <c r="P132" i="1"/>
  <c r="R132" i="1"/>
  <c r="S132" i="1"/>
  <c r="U132" i="1"/>
  <c r="V132" i="1"/>
  <c r="W132" i="1"/>
  <c r="X132" i="1"/>
  <c r="Z132" i="1"/>
  <c r="AD132" i="1"/>
  <c r="AE132" i="1"/>
  <c r="AF132" i="1"/>
  <c r="AH132" i="1"/>
  <c r="AJ132" i="1"/>
  <c r="AK132" i="1"/>
  <c r="AL132" i="1"/>
  <c r="AM132" i="1"/>
  <c r="AN132" i="1"/>
  <c r="AQ132" i="1"/>
  <c r="AS132" i="1"/>
  <c r="AT132" i="1"/>
  <c r="AU132" i="1"/>
  <c r="AV132" i="1"/>
  <c r="AW132" i="1"/>
  <c r="AX132" i="1"/>
  <c r="AY132" i="1"/>
  <c r="BA132" i="1"/>
  <c r="BB132" i="1"/>
  <c r="BC132" i="1"/>
  <c r="BD132" i="1"/>
  <c r="BE132" i="1"/>
  <c r="BF132" i="1"/>
  <c r="BG132" i="1"/>
  <c r="BI132" i="1"/>
  <c r="BJ132" i="1"/>
  <c r="BK132" i="1"/>
  <c r="BL132" i="1"/>
  <c r="BM132" i="1"/>
  <c r="BN132" i="1"/>
  <c r="BO132" i="1"/>
  <c r="D133" i="1"/>
  <c r="H133" i="1"/>
  <c r="J133" i="1"/>
  <c r="R133" i="1"/>
  <c r="U133" i="1"/>
  <c r="AE133" i="1"/>
  <c r="AM133" i="1"/>
  <c r="AQ133" i="1"/>
  <c r="AR133" i="1"/>
  <c r="AS133" i="1"/>
  <c r="AU133" i="1"/>
  <c r="AV133" i="1"/>
  <c r="AX133" i="1"/>
  <c r="AY133" i="1"/>
  <c r="AZ133" i="1"/>
  <c r="BA133" i="1"/>
  <c r="BC133" i="1"/>
  <c r="BD133" i="1"/>
  <c r="BE133" i="1"/>
  <c r="BF133" i="1"/>
  <c r="BG133" i="1"/>
  <c r="BH133" i="1"/>
  <c r="BI133" i="1"/>
  <c r="BK133" i="1"/>
  <c r="BL133" i="1"/>
  <c r="BM133" i="1"/>
  <c r="BN133" i="1"/>
  <c r="BO133" i="1"/>
  <c r="D134" i="1"/>
  <c r="E134" i="1"/>
  <c r="F134" i="1"/>
  <c r="G134" i="1"/>
  <c r="H134" i="1"/>
  <c r="M134" i="1"/>
  <c r="N134" i="1"/>
  <c r="Q134" i="1"/>
  <c r="U134" i="1"/>
  <c r="V134" i="1"/>
  <c r="W134" i="1"/>
  <c r="X134" i="1"/>
  <c r="AD134" i="1"/>
  <c r="AE134" i="1"/>
  <c r="AF134" i="1"/>
  <c r="AG134" i="1"/>
  <c r="AK134" i="1"/>
  <c r="AL134" i="1"/>
  <c r="AM134" i="1"/>
  <c r="AN134" i="1"/>
  <c r="AQ134" i="1"/>
  <c r="AR134" i="1"/>
  <c r="AS134" i="1"/>
  <c r="AT134" i="1"/>
  <c r="AU134" i="1"/>
  <c r="AV134" i="1"/>
  <c r="AY134" i="1"/>
  <c r="AZ134" i="1"/>
  <c r="BA134" i="1"/>
  <c r="BB134" i="1"/>
  <c r="BC134" i="1"/>
  <c r="BD134" i="1"/>
  <c r="BG134" i="1"/>
  <c r="BH134" i="1"/>
  <c r="BI134" i="1"/>
  <c r="BJ134" i="1"/>
  <c r="BK134" i="1"/>
  <c r="BL134" i="1"/>
  <c r="BN134" i="1"/>
  <c r="BO134" i="1"/>
  <c r="E135" i="1"/>
  <c r="U135" i="1"/>
  <c r="X135" i="1"/>
  <c r="AK135" i="1"/>
  <c r="AS135" i="1"/>
  <c r="AT135" i="1"/>
  <c r="AU135" i="1"/>
  <c r="AV135" i="1"/>
  <c r="AW135" i="1"/>
  <c r="AX135" i="1"/>
  <c r="BA135" i="1"/>
  <c r="BB135" i="1"/>
  <c r="BC135" i="1"/>
  <c r="BD135" i="1"/>
  <c r="BE135" i="1"/>
  <c r="BJ135" i="1"/>
  <c r="BK135" i="1"/>
  <c r="BL135" i="1"/>
  <c r="BM135" i="1"/>
  <c r="BN135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E138" i="1"/>
  <c r="H138" i="1"/>
  <c r="I138" i="1"/>
  <c r="J138" i="1"/>
  <c r="K138" i="1"/>
  <c r="M138" i="1"/>
  <c r="R138" i="1"/>
  <c r="S138" i="1"/>
  <c r="U138" i="1"/>
  <c r="W138" i="1"/>
  <c r="Y138" i="1"/>
  <c r="Z138" i="1"/>
  <c r="AE138" i="1"/>
  <c r="AF138" i="1"/>
  <c r="AG138" i="1"/>
  <c r="AH138" i="1"/>
  <c r="AI138" i="1"/>
  <c r="AK138" i="1"/>
  <c r="AM138" i="1"/>
  <c r="AO138" i="1"/>
  <c r="AS138" i="1"/>
  <c r="AV138" i="1"/>
  <c r="AW138" i="1"/>
  <c r="AY138" i="1"/>
  <c r="BA138" i="1"/>
  <c r="BD138" i="1"/>
  <c r="BE138" i="1"/>
  <c r="BF138" i="1"/>
  <c r="BG138" i="1"/>
  <c r="BI138" i="1"/>
  <c r="BL138" i="1"/>
  <c r="BO138" i="1"/>
  <c r="E139" i="1"/>
  <c r="U139" i="1"/>
  <c r="AN139" i="1"/>
  <c r="BA139" i="1"/>
  <c r="BL139" i="1"/>
  <c r="P142" i="1"/>
  <c r="AC142" i="1"/>
  <c r="AP142" i="1"/>
  <c r="AP144" i="1" s="1"/>
  <c r="BC142" i="1"/>
  <c r="BP142" i="1"/>
  <c r="BP144" i="1" s="1"/>
  <c r="P143" i="1"/>
  <c r="AC143" i="1"/>
  <c r="AP143" i="1"/>
  <c r="BC143" i="1"/>
  <c r="BP143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P147" i="1"/>
  <c r="AC147" i="1"/>
  <c r="AP147" i="1"/>
  <c r="BC147" i="1"/>
  <c r="BP147" i="1"/>
  <c r="P148" i="1"/>
  <c r="AC148" i="1"/>
  <c r="AP148" i="1"/>
  <c r="BC148" i="1"/>
  <c r="BP148" i="1"/>
  <c r="P149" i="1"/>
  <c r="AC149" i="1"/>
  <c r="AP149" i="1"/>
  <c r="BC149" i="1"/>
  <c r="BP149" i="1"/>
  <c r="P150" i="1"/>
  <c r="AC150" i="1"/>
  <c r="AP150" i="1"/>
  <c r="BC150" i="1"/>
  <c r="BP150" i="1"/>
  <c r="P151" i="1"/>
  <c r="AC151" i="1"/>
  <c r="AP151" i="1"/>
  <c r="BC151" i="1"/>
  <c r="BP151" i="1"/>
  <c r="P152" i="1"/>
  <c r="AC152" i="1"/>
  <c r="AP152" i="1"/>
  <c r="BC152" i="1"/>
  <c r="BP152" i="1"/>
  <c r="P153" i="1"/>
  <c r="AC153" i="1"/>
  <c r="AP153" i="1"/>
  <c r="BC153" i="1"/>
  <c r="BP153" i="1"/>
  <c r="P154" i="1"/>
  <c r="AC154" i="1"/>
  <c r="AP154" i="1"/>
  <c r="BC154" i="1"/>
  <c r="BP154" i="1"/>
  <c r="P155" i="1"/>
  <c r="AC155" i="1"/>
  <c r="AP155" i="1"/>
  <c r="BC155" i="1"/>
  <c r="BP155" i="1"/>
  <c r="P158" i="1"/>
  <c r="AC158" i="1"/>
  <c r="AP158" i="1"/>
  <c r="BC158" i="1"/>
  <c r="BP158" i="1"/>
  <c r="P159" i="1"/>
  <c r="AC159" i="1"/>
  <c r="AP159" i="1"/>
  <c r="BC159" i="1"/>
  <c r="BP159" i="1"/>
  <c r="P160" i="1"/>
  <c r="AC160" i="1"/>
  <c r="AP160" i="1"/>
  <c r="BC160" i="1"/>
  <c r="BP160" i="1"/>
  <c r="P161" i="1"/>
  <c r="AC161" i="1"/>
  <c r="AP161" i="1"/>
  <c r="BC161" i="1"/>
  <c r="BP161" i="1"/>
  <c r="P162" i="1"/>
  <c r="AC162" i="1"/>
  <c r="AP162" i="1"/>
  <c r="BC162" i="1"/>
  <c r="BP162" i="1"/>
  <c r="P163" i="1"/>
  <c r="AC163" i="1"/>
  <c r="AP163" i="1"/>
  <c r="BC163" i="1"/>
  <c r="BP163" i="1"/>
  <c r="P164" i="1"/>
  <c r="AC164" i="1"/>
  <c r="AP164" i="1"/>
  <c r="BC164" i="1"/>
  <c r="BP164" i="1"/>
  <c r="P165" i="1"/>
  <c r="AC165" i="1"/>
  <c r="AP165" i="1"/>
  <c r="BC165" i="1"/>
  <c r="BP165" i="1"/>
  <c r="P166" i="1"/>
  <c r="AC166" i="1"/>
  <c r="AP166" i="1"/>
  <c r="BC166" i="1"/>
  <c r="BP166" i="1"/>
  <c r="P169" i="1"/>
  <c r="AC169" i="1"/>
  <c r="AC181" i="1" s="1"/>
  <c r="AP169" i="1"/>
  <c r="BC169" i="1"/>
  <c r="P170" i="1"/>
  <c r="AC170" i="1"/>
  <c r="AP170" i="1"/>
  <c r="BC170" i="1"/>
  <c r="P171" i="1"/>
  <c r="AC171" i="1"/>
  <c r="AP171" i="1"/>
  <c r="BC171" i="1"/>
  <c r="P172" i="1"/>
  <c r="AC172" i="1"/>
  <c r="AP172" i="1"/>
  <c r="BC172" i="1"/>
  <c r="P173" i="1"/>
  <c r="AC173" i="1"/>
  <c r="AP173" i="1"/>
  <c r="BC173" i="1"/>
  <c r="P174" i="1"/>
  <c r="AC174" i="1"/>
  <c r="AP174" i="1"/>
  <c r="BC174" i="1"/>
  <c r="P175" i="1"/>
  <c r="AC175" i="1"/>
  <c r="AP175" i="1"/>
  <c r="BC175" i="1"/>
  <c r="P176" i="1"/>
  <c r="AC176" i="1"/>
  <c r="AP176" i="1"/>
  <c r="BC176" i="1"/>
  <c r="P177" i="1"/>
  <c r="AC177" i="1"/>
  <c r="AP177" i="1"/>
  <c r="BC177" i="1"/>
  <c r="P178" i="1"/>
  <c r="AC178" i="1"/>
  <c r="AP178" i="1"/>
  <c r="BC178" i="1"/>
  <c r="P179" i="1"/>
  <c r="AC179" i="1"/>
  <c r="AP179" i="1"/>
  <c r="BC179" i="1"/>
  <c r="P180" i="1"/>
  <c r="AC180" i="1"/>
  <c r="AP180" i="1"/>
  <c r="BC180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E2" i="3"/>
  <c r="M5" i="3"/>
  <c r="N5" i="3" s="1"/>
  <c r="O5" i="3" s="1"/>
  <c r="M6" i="3"/>
  <c r="N6" i="3"/>
  <c r="O6" i="3"/>
  <c r="M7" i="3"/>
  <c r="N7" i="3" s="1"/>
  <c r="O7" i="3"/>
  <c r="M8" i="3"/>
  <c r="N8" i="3" s="1"/>
  <c r="O8" i="3" s="1"/>
  <c r="AP63" i="1" l="1"/>
  <c r="AP107" i="1"/>
  <c r="AP134" i="1"/>
  <c r="BP60" i="1"/>
  <c r="BP129" i="1"/>
  <c r="BP130" i="1"/>
  <c r="BP128" i="1"/>
  <c r="BP127" i="1"/>
  <c r="BP132" i="1"/>
  <c r="BP104" i="1"/>
  <c r="BP131" i="1"/>
  <c r="BH139" i="1"/>
  <c r="X127" i="1"/>
  <c r="BC181" i="1"/>
  <c r="AQ138" i="1"/>
  <c r="AH127" i="1"/>
  <c r="AH133" i="1"/>
  <c r="AJ135" i="1"/>
  <c r="BK68" i="1"/>
  <c r="Z63" i="1"/>
  <c r="Z68" i="1" s="1"/>
  <c r="Z107" i="1"/>
  <c r="Z139" i="1" s="1"/>
  <c r="Z129" i="1"/>
  <c r="Z134" i="1"/>
  <c r="R63" i="1"/>
  <c r="R68" i="1" s="1"/>
  <c r="R107" i="1"/>
  <c r="R129" i="1"/>
  <c r="R134" i="1"/>
  <c r="BP107" i="1"/>
  <c r="BP134" i="1"/>
  <c r="BP63" i="1"/>
  <c r="AC63" i="1"/>
  <c r="AC107" i="1"/>
  <c r="AC134" i="1"/>
  <c r="BJ62" i="1"/>
  <c r="BJ68" i="1" s="1"/>
  <c r="BJ106" i="1"/>
  <c r="AT62" i="1"/>
  <c r="AT106" i="1"/>
  <c r="AB106" i="1"/>
  <c r="AB62" i="1"/>
  <c r="T106" i="1"/>
  <c r="T62" i="1"/>
  <c r="AB60" i="1"/>
  <c r="AB68" i="1" s="1"/>
  <c r="AB129" i="1"/>
  <c r="AB130" i="1"/>
  <c r="AB104" i="1"/>
  <c r="AB134" i="1"/>
  <c r="T60" i="1"/>
  <c r="T129" i="1"/>
  <c r="T130" i="1"/>
  <c r="T104" i="1"/>
  <c r="T134" i="1"/>
  <c r="T131" i="1"/>
  <c r="L60" i="1"/>
  <c r="L129" i="1"/>
  <c r="L104" i="1"/>
  <c r="L130" i="1"/>
  <c r="L134" i="1"/>
  <c r="AP104" i="1"/>
  <c r="AP132" i="1"/>
  <c r="AP129" i="1"/>
  <c r="AP60" i="1"/>
  <c r="AP130" i="1"/>
  <c r="AP181" i="1"/>
  <c r="Z110" i="1"/>
  <c r="Z128" i="1" s="1"/>
  <c r="Z133" i="1"/>
  <c r="Z127" i="1"/>
  <c r="BB106" i="1"/>
  <c r="F138" i="1"/>
  <c r="F139" i="1"/>
  <c r="BG95" i="1"/>
  <c r="BG101" i="1" s="1"/>
  <c r="AQ95" i="1"/>
  <c r="AQ101" i="1" s="1"/>
  <c r="BO67" i="1"/>
  <c r="BO108" i="1"/>
  <c r="AH67" i="1"/>
  <c r="AH108" i="1"/>
  <c r="AH110" i="1" s="1"/>
  <c r="AH128" i="1" s="1"/>
  <c r="AO65" i="1"/>
  <c r="AO108" i="1"/>
  <c r="BB108" i="1"/>
  <c r="BB133" i="1"/>
  <c r="AH63" i="1"/>
  <c r="AH68" i="1" s="1"/>
  <c r="AH107" i="1"/>
  <c r="AH129" i="1"/>
  <c r="Q63" i="1"/>
  <c r="Q107" i="1"/>
  <c r="Q129" i="1"/>
  <c r="AJ106" i="1"/>
  <c r="AJ62" i="1"/>
  <c r="AA60" i="1"/>
  <c r="AA68" i="1" s="1"/>
  <c r="AA104" i="1"/>
  <c r="AA131" i="1"/>
  <c r="AA134" i="1"/>
  <c r="AA130" i="1"/>
  <c r="AA129" i="1"/>
  <c r="K60" i="1"/>
  <c r="K68" i="1" s="1"/>
  <c r="K104" i="1"/>
  <c r="K130" i="1"/>
  <c r="K131" i="1"/>
  <c r="K134" i="1"/>
  <c r="Q139" i="1"/>
  <c r="L131" i="1"/>
  <c r="BM109" i="1"/>
  <c r="BM110" i="1" s="1"/>
  <c r="BM138" i="1"/>
  <c r="AN109" i="1"/>
  <c r="AN135" i="1"/>
  <c r="AN138" i="1"/>
  <c r="BI109" i="1"/>
  <c r="BI110" i="1" s="1"/>
  <c r="M127" i="1"/>
  <c r="M133" i="1"/>
  <c r="BF109" i="1"/>
  <c r="BF135" i="1"/>
  <c r="U101" i="1"/>
  <c r="AO95" i="1"/>
  <c r="AO101" i="1" s="1"/>
  <c r="AO132" i="1"/>
  <c r="H108" i="1"/>
  <c r="H110" i="1" s="1"/>
  <c r="H128" i="1" s="1"/>
  <c r="AO63" i="1"/>
  <c r="AO107" i="1"/>
  <c r="AO110" i="1" s="1"/>
  <c r="AO128" i="1" s="1"/>
  <c r="AO134" i="1"/>
  <c r="O107" i="1"/>
  <c r="O139" i="1" s="1"/>
  <c r="O129" i="1"/>
  <c r="O134" i="1"/>
  <c r="BP106" i="1"/>
  <c r="BP62" i="1"/>
  <c r="BH106" i="1"/>
  <c r="BH62" i="1"/>
  <c r="AR106" i="1"/>
  <c r="AR62" i="1"/>
  <c r="N105" i="1"/>
  <c r="N61" i="1"/>
  <c r="N68" i="1" s="1"/>
  <c r="F105" i="1"/>
  <c r="F109" i="1" s="1"/>
  <c r="F61" i="1"/>
  <c r="F68" i="1" s="1"/>
  <c r="BH60" i="1"/>
  <c r="BH129" i="1"/>
  <c r="BH130" i="1"/>
  <c r="BH128" i="1"/>
  <c r="BH127" i="1"/>
  <c r="BH132" i="1"/>
  <c r="AZ60" i="1"/>
  <c r="AZ68" i="1" s="1"/>
  <c r="AZ129" i="1"/>
  <c r="AZ130" i="1"/>
  <c r="AZ104" i="1"/>
  <c r="AZ128" i="1"/>
  <c r="AZ131" i="1"/>
  <c r="AZ127" i="1"/>
  <c r="AZ132" i="1"/>
  <c r="AR60" i="1"/>
  <c r="AR68" i="1" s="1"/>
  <c r="AR129" i="1"/>
  <c r="AR104" i="1"/>
  <c r="AR130" i="1"/>
  <c r="AR128" i="1"/>
  <c r="AR127" i="1"/>
  <c r="AR131" i="1"/>
  <c r="AR132" i="1"/>
  <c r="AI60" i="1"/>
  <c r="AI68" i="1" s="1"/>
  <c r="AI104" i="1"/>
  <c r="AI131" i="1"/>
  <c r="AI134" i="1"/>
  <c r="AI130" i="1"/>
  <c r="AI132" i="1"/>
  <c r="BN138" i="1"/>
  <c r="BI135" i="1"/>
  <c r="AX134" i="1"/>
  <c r="I134" i="1"/>
  <c r="L132" i="1"/>
  <c r="I129" i="1"/>
  <c r="AX108" i="1"/>
  <c r="AX110" i="1" s="1"/>
  <c r="AG107" i="1"/>
  <c r="H135" i="1"/>
  <c r="H139" i="1"/>
  <c r="AL135" i="1"/>
  <c r="AL138" i="1"/>
  <c r="AL139" i="1"/>
  <c r="N109" i="1"/>
  <c r="N138" i="1"/>
  <c r="N139" i="1"/>
  <c r="N135" i="1"/>
  <c r="BA101" i="1"/>
  <c r="AP95" i="1"/>
  <c r="AP101" i="1" s="1"/>
  <c r="BC101" i="1"/>
  <c r="H67" i="1"/>
  <c r="H68" i="1" s="1"/>
  <c r="AF108" i="1"/>
  <c r="AF110" i="1" s="1"/>
  <c r="AF128" i="1" s="1"/>
  <c r="AB131" i="1"/>
  <c r="AF123" i="1"/>
  <c r="AF124" i="1" s="1"/>
  <c r="AF139" i="1"/>
  <c r="AA109" i="1"/>
  <c r="AH139" i="1"/>
  <c r="BO95" i="1"/>
  <c r="BO101" i="1" s="1"/>
  <c r="AY95" i="1"/>
  <c r="AY101" i="1" s="1"/>
  <c r="AT64" i="1"/>
  <c r="AT108" i="1"/>
  <c r="Y63" i="1"/>
  <c r="Y107" i="1"/>
  <c r="Y129" i="1"/>
  <c r="Y134" i="1"/>
  <c r="AJ60" i="1"/>
  <c r="AJ129" i="1"/>
  <c r="AJ130" i="1"/>
  <c r="AJ134" i="1"/>
  <c r="AJ131" i="1"/>
  <c r="S60" i="1"/>
  <c r="S68" i="1" s="1"/>
  <c r="S104" i="1"/>
  <c r="S130" i="1"/>
  <c r="S131" i="1"/>
  <c r="S134" i="1"/>
  <c r="AC60" i="1"/>
  <c r="AC129" i="1"/>
  <c r="AC132" i="1"/>
  <c r="AC104" i="1"/>
  <c r="F135" i="1"/>
  <c r="I107" i="1"/>
  <c r="AR101" i="1"/>
  <c r="AG95" i="1"/>
  <c r="AG101" i="1" s="1"/>
  <c r="AG132" i="1"/>
  <c r="Y95" i="1"/>
  <c r="Y101" i="1" s="1"/>
  <c r="Y132" i="1"/>
  <c r="Q95" i="1"/>
  <c r="Q101" i="1" s="1"/>
  <c r="Q132" i="1"/>
  <c r="I95" i="1"/>
  <c r="I101" i="1" s="1"/>
  <c r="I132" i="1"/>
  <c r="BN108" i="1"/>
  <c r="BN110" i="1" s="1"/>
  <c r="BN67" i="1"/>
  <c r="BJ108" i="1"/>
  <c r="BJ64" i="1"/>
  <c r="BJ133" i="1"/>
  <c r="AW63" i="1"/>
  <c r="AW68" i="1" s="1"/>
  <c r="AW107" i="1"/>
  <c r="AW139" i="1" s="1"/>
  <c r="AW134" i="1"/>
  <c r="G63" i="1"/>
  <c r="G107" i="1"/>
  <c r="G129" i="1"/>
  <c r="AZ106" i="1"/>
  <c r="AZ62" i="1"/>
  <c r="Q138" i="1"/>
  <c r="AA138" i="1"/>
  <c r="BH135" i="1"/>
  <c r="BF134" i="1"/>
  <c r="T132" i="1"/>
  <c r="K132" i="1"/>
  <c r="AR124" i="1"/>
  <c r="U110" i="1"/>
  <c r="U128" i="1" s="1"/>
  <c r="W127" i="1"/>
  <c r="W133" i="1"/>
  <c r="W110" i="1"/>
  <c r="W128" i="1" s="1"/>
  <c r="AW108" i="1"/>
  <c r="AW110" i="1" s="1"/>
  <c r="AZ101" i="1"/>
  <c r="R101" i="1"/>
  <c r="BB64" i="1"/>
  <c r="AU68" i="1"/>
  <c r="BF67" i="1"/>
  <c r="BF68" i="1" s="1"/>
  <c r="D60" i="1"/>
  <c r="D129" i="1"/>
  <c r="D130" i="1"/>
  <c r="D128" i="1"/>
  <c r="D127" i="1"/>
  <c r="D104" i="1"/>
  <c r="AB132" i="1"/>
  <c r="AM124" i="1"/>
  <c r="Z135" i="1"/>
  <c r="AH135" i="1"/>
  <c r="AA132" i="1"/>
  <c r="S129" i="1"/>
  <c r="BF107" i="1"/>
  <c r="BF139" i="1" s="1"/>
  <c r="P181" i="1"/>
  <c r="X139" i="1"/>
  <c r="Q135" i="1"/>
  <c r="AH134" i="1"/>
  <c r="AI129" i="1"/>
  <c r="M110" i="1"/>
  <c r="M128" i="1" s="1"/>
  <c r="BG108" i="1"/>
  <c r="BN107" i="1"/>
  <c r="BN139" i="1" s="1"/>
  <c r="BM65" i="1"/>
  <c r="BM68" i="1" s="1"/>
  <c r="BM108" i="1"/>
  <c r="BE65" i="1"/>
  <c r="BE68" i="1" s="1"/>
  <c r="BE108" i="1"/>
  <c r="V65" i="1"/>
  <c r="V108" i="1"/>
  <c r="N65" i="1"/>
  <c r="N108" i="1"/>
  <c r="AC47" i="1"/>
  <c r="AC65" i="1" s="1"/>
  <c r="I64" i="1"/>
  <c r="I108" i="1"/>
  <c r="I110" i="1" s="1"/>
  <c r="I128" i="1" s="1"/>
  <c r="I133" i="1"/>
  <c r="BC64" i="1"/>
  <c r="BC68" i="1" s="1"/>
  <c r="BC108" i="1"/>
  <c r="BC110" i="1" s="1"/>
  <c r="P64" i="1"/>
  <c r="P130" i="1"/>
  <c r="W135" i="1"/>
  <c r="W139" i="1"/>
  <c r="BM134" i="1"/>
  <c r="BE134" i="1"/>
  <c r="BL124" i="1"/>
  <c r="H124" i="1"/>
  <c r="O124" i="1"/>
  <c r="BM107" i="1"/>
  <c r="BM139" i="1" s="1"/>
  <c r="BE107" i="1"/>
  <c r="BE139" i="1" s="1"/>
  <c r="I68" i="1"/>
  <c r="AD65" i="1"/>
  <c r="AD108" i="1"/>
  <c r="Y64" i="1"/>
  <c r="Y108" i="1"/>
  <c r="Q64" i="1"/>
  <c r="Q108" i="1"/>
  <c r="Q110" i="1" s="1"/>
  <c r="Q128" i="1" s="1"/>
  <c r="Q133" i="1"/>
  <c r="V124" i="1"/>
  <c r="M124" i="1"/>
  <c r="F108" i="1"/>
  <c r="AM135" i="1"/>
  <c r="AM139" i="1"/>
  <c r="M139" i="1"/>
  <c r="M135" i="1"/>
  <c r="BL67" i="1"/>
  <c r="BK124" i="1"/>
  <c r="G124" i="1"/>
  <c r="AE124" i="1"/>
  <c r="W124" i="1"/>
  <c r="N124" i="1"/>
  <c r="AE135" i="1"/>
  <c r="AE139" i="1"/>
  <c r="BN68" i="1"/>
  <c r="AX138" i="1"/>
  <c r="AV124" i="1"/>
  <c r="BE110" i="1"/>
  <c r="O127" i="1"/>
  <c r="O110" i="1"/>
  <c r="O128" i="1" s="1"/>
  <c r="O133" i="1"/>
  <c r="P108" i="1"/>
  <c r="V101" i="1"/>
  <c r="BH95" i="1"/>
  <c r="BH101" i="1" s="1"/>
  <c r="AI95" i="1"/>
  <c r="AI101" i="1" s="1"/>
  <c r="AA95" i="1"/>
  <c r="AA101" i="1" s="1"/>
  <c r="AA110" i="1"/>
  <c r="AA128" i="1" s="1"/>
  <c r="S95" i="1"/>
  <c r="S101" i="1" s="1"/>
  <c r="K95" i="1"/>
  <c r="K101" i="1" s="1"/>
  <c r="J63" i="1"/>
  <c r="J68" i="1" s="1"/>
  <c r="J107" i="1"/>
  <c r="J134" i="1"/>
  <c r="P30" i="1"/>
  <c r="BK106" i="1"/>
  <c r="BK62" i="1"/>
  <c r="BC138" i="1"/>
  <c r="BC139" i="1"/>
  <c r="AU138" i="1"/>
  <c r="AU139" i="1"/>
  <c r="AD62" i="1"/>
  <c r="AD68" i="1" s="1"/>
  <c r="AD106" i="1"/>
  <c r="L106" i="1"/>
  <c r="L62" i="1"/>
  <c r="D106" i="1"/>
  <c r="D62" i="1"/>
  <c r="AC101" i="1"/>
  <c r="X68" i="1"/>
  <c r="AO64" i="1"/>
  <c r="AO68" i="1" s="1"/>
  <c r="AO133" i="1"/>
  <c r="AG64" i="1"/>
  <c r="AG68" i="1" s="1"/>
  <c r="AG108" i="1"/>
  <c r="AG133" i="1"/>
  <c r="BP41" i="1"/>
  <c r="AL105" i="1"/>
  <c r="AL109" i="1" s="1"/>
  <c r="AL61" i="1"/>
  <c r="AL68" i="1" s="1"/>
  <c r="BO60" i="1"/>
  <c r="BO104" i="1"/>
  <c r="BO131" i="1"/>
  <c r="BG60" i="1"/>
  <c r="BG68" i="1" s="1"/>
  <c r="BG104" i="1"/>
  <c r="BG131" i="1"/>
  <c r="AY60" i="1"/>
  <c r="AY68" i="1" s="1"/>
  <c r="AY104" i="1"/>
  <c r="AY131" i="1"/>
  <c r="AQ60" i="1"/>
  <c r="AQ68" i="1" s="1"/>
  <c r="AQ104" i="1"/>
  <c r="AQ131" i="1"/>
  <c r="Y104" i="1"/>
  <c r="Y60" i="1"/>
  <c r="Y68" i="1" s="1"/>
  <c r="Q131" i="1"/>
  <c r="Q130" i="1"/>
  <c r="AQ129" i="1"/>
  <c r="X124" i="1"/>
  <c r="V109" i="1"/>
  <c r="BD68" i="1"/>
  <c r="G68" i="1"/>
  <c r="G106" i="1"/>
  <c r="G62" i="1"/>
  <c r="AC23" i="1"/>
  <c r="BA68" i="1"/>
  <c r="AS61" i="1"/>
  <c r="AS68" i="1" s="1"/>
  <c r="AS105" i="1"/>
  <c r="AS109" i="1" s="1"/>
  <c r="AS110" i="1" s="1"/>
  <c r="AK61" i="1"/>
  <c r="AK68" i="1" s="1"/>
  <c r="AK105" i="1"/>
  <c r="AK109" i="1" s="1"/>
  <c r="U68" i="1"/>
  <c r="V139" i="1"/>
  <c r="X133" i="1"/>
  <c r="Y131" i="1"/>
  <c r="G131" i="1"/>
  <c r="AY129" i="1"/>
  <c r="AG129" i="1"/>
  <c r="W129" i="1"/>
  <c r="P115" i="1"/>
  <c r="P122" i="1" s="1"/>
  <c r="P124" i="1" s="1"/>
  <c r="X108" i="1"/>
  <c r="X110" i="1" s="1"/>
  <c r="X128" i="1" s="1"/>
  <c r="D101" i="1"/>
  <c r="O62" i="1"/>
  <c r="O68" i="1" s="1"/>
  <c r="AF68" i="1"/>
  <c r="V61" i="1"/>
  <c r="AX68" i="1"/>
  <c r="AX101" i="1"/>
  <c r="E105" i="1"/>
  <c r="E109" i="1" s="1"/>
  <c r="E61" i="1"/>
  <c r="E68" i="1" s="1"/>
  <c r="BI101" i="1"/>
  <c r="AT61" i="1"/>
  <c r="AT68" i="1" s="1"/>
  <c r="AE68" i="1"/>
  <c r="Q60" i="1"/>
  <c r="Q68" i="1" s="1"/>
  <c r="AW64" i="1"/>
  <c r="AW133" i="1"/>
  <c r="AN64" i="1"/>
  <c r="AN68" i="1" s="1"/>
  <c r="AN108" i="1"/>
  <c r="O135" i="1"/>
  <c r="AP23" i="1"/>
  <c r="AP131" i="1" s="1"/>
  <c r="BI68" i="1"/>
  <c r="V138" i="1"/>
  <c r="AF133" i="1"/>
  <c r="AG131" i="1"/>
  <c r="O131" i="1"/>
  <c r="AQ130" i="1"/>
  <c r="Y130" i="1"/>
  <c r="BG129" i="1"/>
  <c r="AO129" i="1"/>
  <c r="BO127" i="1"/>
  <c r="BG127" i="1"/>
  <c r="AY127" i="1"/>
  <c r="AQ127" i="1"/>
  <c r="AG127" i="1"/>
  <c r="AN124" i="1"/>
  <c r="M101" i="1"/>
  <c r="AB95" i="1"/>
  <c r="AB101" i="1" s="1"/>
  <c r="BL68" i="1"/>
  <c r="BB61" i="1"/>
  <c r="BM101" i="1"/>
  <c r="BE101" i="1"/>
  <c r="AW101" i="1"/>
  <c r="AC57" i="1"/>
  <c r="AC67" i="1" s="1"/>
  <c r="AP41" i="1"/>
  <c r="P23" i="1"/>
  <c r="BF101" i="1"/>
  <c r="AK101" i="1"/>
  <c r="Z101" i="1"/>
  <c r="E101" i="1"/>
  <c r="AV68" i="1"/>
  <c r="BP47" i="1"/>
  <c r="BP65" i="1" s="1"/>
  <c r="AL127" i="1" l="1"/>
  <c r="AL110" i="1"/>
  <c r="AL128" i="1" s="1"/>
  <c r="AL133" i="1"/>
  <c r="F127" i="1"/>
  <c r="F110" i="1"/>
  <c r="F128" i="1" s="1"/>
  <c r="F133" i="1"/>
  <c r="AC68" i="1"/>
  <c r="BF110" i="1"/>
  <c r="BO139" i="1"/>
  <c r="BO135" i="1"/>
  <c r="BO109" i="1"/>
  <c r="BO110" i="1" s="1"/>
  <c r="AD109" i="1"/>
  <c r="AD138" i="1"/>
  <c r="AD135" i="1"/>
  <c r="AD139" i="1"/>
  <c r="AC106" i="1"/>
  <c r="AC135" i="1" s="1"/>
  <c r="AC62" i="1"/>
  <c r="AC131" i="1"/>
  <c r="BO68" i="1"/>
  <c r="AZ138" i="1"/>
  <c r="AZ109" i="1"/>
  <c r="AZ110" i="1" s="1"/>
  <c r="AJ109" i="1"/>
  <c r="AJ138" i="1"/>
  <c r="L135" i="1"/>
  <c r="L139" i="1"/>
  <c r="R139" i="1"/>
  <c r="R135" i="1"/>
  <c r="R110" i="1"/>
  <c r="R128" i="1" s="1"/>
  <c r="AY135" i="1"/>
  <c r="AY139" i="1"/>
  <c r="J110" i="1"/>
  <c r="J128" i="1" s="1"/>
  <c r="J139" i="1"/>
  <c r="J135" i="1"/>
  <c r="T68" i="1"/>
  <c r="T138" i="1"/>
  <c r="T109" i="1"/>
  <c r="BK138" i="1"/>
  <c r="BK109" i="1"/>
  <c r="BK110" i="1" s="1"/>
  <c r="BK139" i="1"/>
  <c r="BP109" i="1"/>
  <c r="BP138" i="1"/>
  <c r="BJ109" i="1"/>
  <c r="BJ110" i="1" s="1"/>
  <c r="BJ138" i="1"/>
  <c r="BJ139" i="1"/>
  <c r="AG135" i="1"/>
  <c r="AG139" i="1"/>
  <c r="AP68" i="1"/>
  <c r="E133" i="1"/>
  <c r="E110" i="1"/>
  <c r="E128" i="1" s="1"/>
  <c r="E127" i="1"/>
  <c r="AA127" i="1"/>
  <c r="AA133" i="1"/>
  <c r="N127" i="1"/>
  <c r="N110" i="1"/>
  <c r="N128" i="1" s="1"/>
  <c r="N133" i="1"/>
  <c r="G135" i="1"/>
  <c r="G109" i="1"/>
  <c r="G138" i="1"/>
  <c r="G139" i="1"/>
  <c r="AR109" i="1"/>
  <c r="AR110" i="1" s="1"/>
  <c r="AR138" i="1"/>
  <c r="L68" i="1"/>
  <c r="BP135" i="1"/>
  <c r="BP139" i="1"/>
  <c r="AQ139" i="1"/>
  <c r="AQ135" i="1"/>
  <c r="D135" i="1"/>
  <c r="D139" i="1"/>
  <c r="I135" i="1"/>
  <c r="I139" i="1"/>
  <c r="AK110" i="1"/>
  <c r="AK128" i="1" s="1"/>
  <c r="AK127" i="1"/>
  <c r="AK133" i="1"/>
  <c r="D68" i="1"/>
  <c r="AJ68" i="1"/>
  <c r="AZ135" i="1"/>
  <c r="AZ139" i="1"/>
  <c r="Y139" i="1"/>
  <c r="Y109" i="1"/>
  <c r="Y135" i="1"/>
  <c r="BG139" i="1"/>
  <c r="BG135" i="1"/>
  <c r="D138" i="1"/>
  <c r="D109" i="1"/>
  <c r="D110" i="1" s="1"/>
  <c r="BG109" i="1"/>
  <c r="BG110" i="1" s="1"/>
  <c r="AY109" i="1"/>
  <c r="AY110" i="1" s="1"/>
  <c r="AR139" i="1"/>
  <c r="AR135" i="1"/>
  <c r="BH68" i="1"/>
  <c r="BH109" i="1"/>
  <c r="BH110" i="1" s="1"/>
  <c r="BH138" i="1"/>
  <c r="AN110" i="1"/>
  <c r="AN128" i="1" s="1"/>
  <c r="AN133" i="1"/>
  <c r="AN127" i="1"/>
  <c r="AB139" i="1"/>
  <c r="AB135" i="1"/>
  <c r="AT109" i="1"/>
  <c r="AT110" i="1" s="1"/>
  <c r="AT138" i="1"/>
  <c r="AT139" i="1"/>
  <c r="AQ109" i="1"/>
  <c r="AQ110" i="1" s="1"/>
  <c r="P62" i="1"/>
  <c r="P131" i="1"/>
  <c r="P106" i="1"/>
  <c r="L138" i="1"/>
  <c r="L109" i="1"/>
  <c r="K135" i="1"/>
  <c r="K139" i="1"/>
  <c r="K109" i="1"/>
  <c r="BB109" i="1"/>
  <c r="BB110" i="1" s="1"/>
  <c r="BB138" i="1"/>
  <c r="BB139" i="1"/>
  <c r="T135" i="1"/>
  <c r="T139" i="1"/>
  <c r="AP64" i="1"/>
  <c r="AP108" i="1"/>
  <c r="P63" i="1"/>
  <c r="P107" i="1"/>
  <c r="P134" i="1"/>
  <c r="P129" i="1"/>
  <c r="V68" i="1"/>
  <c r="BP64" i="1"/>
  <c r="BP68" i="1" s="1"/>
  <c r="BP133" i="1"/>
  <c r="BP108" i="1"/>
  <c r="AC108" i="1"/>
  <c r="S109" i="1"/>
  <c r="S139" i="1"/>
  <c r="S135" i="1"/>
  <c r="AO135" i="1"/>
  <c r="AO139" i="1"/>
  <c r="AJ139" i="1"/>
  <c r="AB109" i="1"/>
  <c r="AB138" i="1"/>
  <c r="BB68" i="1"/>
  <c r="AP62" i="1"/>
  <c r="AP106" i="1"/>
  <c r="V127" i="1"/>
  <c r="V110" i="1"/>
  <c r="V128" i="1" s="1"/>
  <c r="V133" i="1"/>
  <c r="AG110" i="1"/>
  <c r="AG128" i="1" s="1"/>
  <c r="AI135" i="1"/>
  <c r="AI109" i="1"/>
  <c r="AI139" i="1"/>
  <c r="AA139" i="1"/>
  <c r="AA135" i="1"/>
  <c r="AC139" i="1" l="1"/>
  <c r="T133" i="1"/>
  <c r="T127" i="1"/>
  <c r="T110" i="1"/>
  <c r="T128" i="1" s="1"/>
  <c r="AC109" i="1"/>
  <c r="AC138" i="1"/>
  <c r="L133" i="1"/>
  <c r="L127" i="1"/>
  <c r="L110" i="1"/>
  <c r="L128" i="1" s="1"/>
  <c r="AJ133" i="1"/>
  <c r="AJ127" i="1"/>
  <c r="AJ110" i="1"/>
  <c r="AJ128" i="1" s="1"/>
  <c r="AP109" i="1"/>
  <c r="AP138" i="1"/>
  <c r="P138" i="1"/>
  <c r="P109" i="1"/>
  <c r="P135" i="1"/>
  <c r="P139" i="1"/>
  <c r="Y110" i="1"/>
  <c r="Y128" i="1" s="1"/>
  <c r="Y127" i="1"/>
  <c r="Y133" i="1"/>
  <c r="AD127" i="1"/>
  <c r="AD110" i="1"/>
  <c r="AD128" i="1" s="1"/>
  <c r="AD133" i="1"/>
  <c r="AP135" i="1"/>
  <c r="G127" i="1"/>
  <c r="G133" i="1"/>
  <c r="G110" i="1"/>
  <c r="G128" i="1" s="1"/>
  <c r="AI133" i="1"/>
  <c r="AI110" i="1"/>
  <c r="AI128" i="1" s="1"/>
  <c r="AI127" i="1"/>
  <c r="S133" i="1"/>
  <c r="S110" i="1"/>
  <c r="S128" i="1" s="1"/>
  <c r="S127" i="1"/>
  <c r="P68" i="1"/>
  <c r="AB133" i="1"/>
  <c r="AB110" i="1"/>
  <c r="AB128" i="1" s="1"/>
  <c r="AB127" i="1"/>
  <c r="K133" i="1"/>
  <c r="K127" i="1"/>
  <c r="K110" i="1"/>
  <c r="K128" i="1" s="1"/>
  <c r="AP139" i="1"/>
  <c r="BP110" i="1"/>
  <c r="P110" i="1" l="1"/>
  <c r="P128" i="1" s="1"/>
  <c r="P127" i="1"/>
  <c r="P133" i="1"/>
  <c r="AP127" i="1"/>
  <c r="AP110" i="1"/>
  <c r="AP128" i="1" s="1"/>
  <c r="AP133" i="1"/>
  <c r="AC110" i="1"/>
  <c r="AC128" i="1" s="1"/>
  <c r="AC133" i="1"/>
  <c r="AC127" i="1"/>
</calcChain>
</file>

<file path=xl/sharedStrings.xml><?xml version="1.0" encoding="utf-8"?>
<sst xmlns="http://schemas.openxmlformats.org/spreadsheetml/2006/main" count="358" uniqueCount="228">
  <si>
    <t>TRADE STATEMENT - OCT 2026-27</t>
  </si>
  <si>
    <t>TEST BUSINESS STD Ltd</t>
  </si>
  <si>
    <t>Date:</t>
  </si>
  <si>
    <t>07 Oct 16:45:50</t>
  </si>
  <si>
    <t>CODE</t>
  </si>
  <si>
    <t>NAME</t>
  </si>
  <si>
    <t>2023-24 (Closed)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</si>
  <si>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</si>
  <si>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</si>
  <si>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</si>
  <si>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</si>
  <si>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</si>
  <si>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</si>
  <si>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</si>
  <si>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</si>
  <si>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</si>
  <si>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</si>
  <si>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</si>
  <si>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</si>
  <si>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2023-24</t>
  </si>
  <si>
    <t>TOTALS</t>
  </si>
  <si>
    <t>2024-25 (Closed)</t>
  </si>
  <si>
    <t>2024-25</t>
  </si>
  <si>
    <t>2025-26 (Closed)</t>
  </si>
  <si>
    <t>2025-26</t>
  </si>
  <si>
    <t>2026-27 (Current)</t>
  </si>
  <si>
    <t>2026-27</t>
  </si>
  <si>
    <t>2027-28 (Forecast)</t>
  </si>
  <si>
    <t>2027-28</t>
  </si>
  <si>
    <t>Sales</t>
  </si>
  <si>
    <t>CC-SALES</t>
  </si>
  <si>
    <t>CC-SALAB</t>
  </si>
  <si>
    <t>Sales – Labour</t>
  </si>
  <si>
    <t>CC-SAMAT</t>
  </si>
  <si>
    <t>Sales – Materials</t>
  </si>
  <si>
    <t>CA-SALES</t>
  </si>
  <si>
    <t>Other Income (Internal)</t>
  </si>
  <si>
    <t>CC-INCME</t>
  </si>
  <si>
    <t>Other Income</t>
  </si>
  <si>
    <t>CA-INCOME</t>
  </si>
  <si>
    <t>Direct Costs</t>
  </si>
  <si>
    <t>CC-DIRCT</t>
  </si>
  <si>
    <t>CC-FUEL</t>
  </si>
  <si>
    <t>Fuel &amp; Oil</t>
  </si>
  <si>
    <t>CC-MAT</t>
  </si>
  <si>
    <t>Materials</t>
  </si>
  <si>
    <t>CC-MTRAV</t>
  </si>
  <si>
    <t>Motor Travel</t>
  </si>
  <si>
    <t>CC-MREPA</t>
  </si>
  <si>
    <t>Motors</t>
  </si>
  <si>
    <t>CC-SUB</t>
  </si>
  <si>
    <t>Subcontractors</t>
  </si>
  <si>
    <t>CA-DIRECT</t>
  </si>
  <si>
    <t>Wages</t>
  </si>
  <si>
    <t>CC-EMPNI</t>
  </si>
  <si>
    <t>Employers NI</t>
  </si>
  <si>
    <t>CC-PENSN</t>
  </si>
  <si>
    <t>Pensions</t>
  </si>
  <si>
    <t>CC-SALRY</t>
  </si>
  <si>
    <t>Salary</t>
  </si>
  <si>
    <t>CC-WAGES</t>
  </si>
  <si>
    <t>CA-WAGES</t>
  </si>
  <si>
    <t>Admin Expenses</t>
  </si>
  <si>
    <t>CC-ADMIN</t>
  </si>
  <si>
    <t>CC-ADVT</t>
  </si>
  <si>
    <t>Advertising</t>
  </si>
  <si>
    <t>CC-BANKC</t>
  </si>
  <si>
    <t>Bank Charges</t>
  </si>
  <si>
    <t>CC-EXPENSE</t>
  </si>
  <si>
    <t>Employee Expenses</t>
  </si>
  <si>
    <t>CC-INS</t>
  </si>
  <si>
    <t>Insurance</t>
  </si>
  <si>
    <t>CC-PROF</t>
  </si>
  <si>
    <t>Professional Fees</t>
  </si>
  <si>
    <t>CC-PHONE</t>
  </si>
  <si>
    <t>Telephone &amp; Internet</t>
  </si>
  <si>
    <t>CC-TRAV</t>
  </si>
  <si>
    <t>Travel &amp; Subsistence</t>
  </si>
  <si>
    <t>CA-ADMIN</t>
  </si>
  <si>
    <t>Depreciation expense</t>
  </si>
  <si>
    <t>CC-DEPFX</t>
  </si>
  <si>
    <t>Depreciation – Fixtures</t>
  </si>
  <si>
    <t>CC-DEPMV</t>
  </si>
  <si>
    <t>Depreciation – Motor Vehicles</t>
  </si>
  <si>
    <t>CC-DEPPL</t>
  </si>
  <si>
    <t>Depreciation – Plant &amp; Tools</t>
  </si>
  <si>
    <t>CA-DEPREC</t>
  </si>
  <si>
    <t>Dividends</t>
  </si>
  <si>
    <t>CC-DIVID</t>
  </si>
  <si>
    <t>CA-DIVID</t>
  </si>
  <si>
    <t>Building</t>
  </si>
  <si>
    <t>CC-LHEAT</t>
  </si>
  <si>
    <t>Light, Heat &amp; Power</t>
  </si>
  <si>
    <t>CC-RENT</t>
  </si>
  <si>
    <t>Rent &amp; Rates</t>
  </si>
  <si>
    <t>CC-REPA</t>
  </si>
  <si>
    <t>Repairs &amp; Maintenance</t>
  </si>
  <si>
    <t>CA-BUILD</t>
  </si>
  <si>
    <t>SUMMARY</t>
  </si>
  <si>
    <t>PERIOD TOTAL</t>
  </si>
  <si>
    <t>Asset Movements</t>
  </si>
  <si>
    <t>CC-DEPRJ</t>
  </si>
  <si>
    <t>Depreciation Adjustment</t>
  </si>
  <si>
    <t>CA-ASSET</t>
  </si>
  <si>
    <t>Intercompany Payment</t>
  </si>
  <si>
    <t>CC-TRNPY</t>
  </si>
  <si>
    <t>Transfer Payment</t>
  </si>
  <si>
    <t>CA-IP</t>
  </si>
  <si>
    <t>Intercompany Receipt</t>
  </si>
  <si>
    <t>CC-TRNRC</t>
  </si>
  <si>
    <t>Transfer Receipt</t>
  </si>
  <si>
    <t>CA-IR</t>
  </si>
  <si>
    <t>Bank Accounts</t>
  </si>
  <si>
    <t>CC-BANK</t>
  </si>
  <si>
    <t>Bank</t>
  </si>
  <si>
    <t>CA-BANK</t>
  </si>
  <si>
    <t>Investments / Capital</t>
  </si>
  <si>
    <t>CC-SHCAP</t>
  </si>
  <si>
    <t>Share Capital</t>
  </si>
  <si>
    <t>CA-INVEST</t>
  </si>
  <si>
    <t>Liabilities</t>
  </si>
  <si>
    <t>CC-LOAN</t>
  </si>
  <si>
    <t>Loan / Liability</t>
  </si>
  <si>
    <t>CA-LIAB</t>
  </si>
  <si>
    <t>TRADE TOTALS</t>
  </si>
  <si>
    <t>Turnover</t>
  </si>
  <si>
    <t>CT-TURNOV</t>
  </si>
  <si>
    <t>CT-OTHRIN</t>
  </si>
  <si>
    <t>Cost of Sales</t>
  </si>
  <si>
    <t>CT-CSTSAL</t>
  </si>
  <si>
    <t>Staff Costs</t>
  </si>
  <si>
    <t>CT-STAFFC</t>
  </si>
  <si>
    <t>Overheads</t>
  </si>
  <si>
    <t>CT-OVERHD</t>
  </si>
  <si>
    <t>Gross Profit</t>
  </si>
  <si>
    <t>CT-GROSSP</t>
  </si>
  <si>
    <t>Profit and Loss</t>
  </si>
  <si>
    <t>CT-PANDL</t>
  </si>
  <si>
    <t>Tax on Goods (VAT / General)</t>
  </si>
  <si>
    <t>CC-GENTX</t>
  </si>
  <si>
    <t>General Taxes</t>
  </si>
  <si>
    <t>CC-VAT</t>
  </si>
  <si>
    <t>VAT Control</t>
  </si>
  <si>
    <t>CA-TAXGD</t>
  </si>
  <si>
    <t>Tax on Company (Biz)</t>
  </si>
  <si>
    <t>CC-BIZTX</t>
  </si>
  <si>
    <t>Business Tax</t>
  </si>
  <si>
    <t>CA-TAXCO</t>
  </si>
  <si>
    <t>ANALYSIS</t>
  </si>
  <si>
    <t>Gross Margin %</t>
  </si>
  <si>
    <t>CE-GP</t>
  </si>
  <si>
    <t>Net Profit %</t>
  </si>
  <si>
    <t>CE-NP</t>
  </si>
  <si>
    <t>Wages Ratio</t>
  </si>
  <si>
    <t>CE-WP</t>
  </si>
  <si>
    <t>Admin Cost Ratio</t>
  </si>
  <si>
    <t>CE-AP</t>
  </si>
  <si>
    <t>Direct Cost Ratio</t>
  </si>
  <si>
    <t>CE-DP</t>
  </si>
  <si>
    <t>Depreciation Ratio</t>
  </si>
  <si>
    <t>CE-DE</t>
  </si>
  <si>
    <t>Overhead Coverage Ratio</t>
  </si>
  <si>
    <t>CE-OC</t>
  </si>
  <si>
    <t>Revenue-to-Wages Ratio</t>
  </si>
  <si>
    <t>CE-RS</t>
  </si>
  <si>
    <t>Cash Operating Surplus % (Structured)</t>
  </si>
  <si>
    <t>CE-COS</t>
  </si>
  <si>
    <t>Labour Margin %</t>
  </si>
  <si>
    <t>CE-LM</t>
  </si>
  <si>
    <t>Materials Margin %</t>
  </si>
  <si>
    <t>CE-MM</t>
  </si>
  <si>
    <t>Subcontractor Dependency Ratio</t>
  </si>
  <si>
    <t>CE-SDR</t>
  </si>
  <si>
    <t>Effective Tax Rate</t>
  </si>
  <si>
    <t>CE-ETR</t>
  </si>
  <si>
    <t>CLOSING BALANCE</t>
  </si>
  <si>
    <t>CurrentAcc</t>
  </si>
  <si>
    <t>CURRENT ACCOUNT</t>
  </si>
  <si>
    <t>Reserveacc</t>
  </si>
  <si>
    <t>COMPANY BALANCE</t>
  </si>
  <si>
    <t>VAT QUARTERLY</t>
  </si>
  <si>
    <t>VAT DUE SALES</t>
  </si>
  <si>
    <t>VAT DUE ACQUISITIONS</t>
  </si>
  <si>
    <t>TOTAL VAT DUE</t>
  </si>
  <si>
    <t>VAT RECLAIMED CURRENT PERIOD</t>
  </si>
  <si>
    <t>TOTAL VALUE SALES EX VAT</t>
  </si>
  <si>
    <t>TOTAL VALUE PURCHASES EX VAT</t>
  </si>
  <si>
    <t>TOTAL VALUE GOODS SUPPLIED EX VAT</t>
  </si>
  <si>
    <t>TOTAL VALUE GOODS RECEIVED EX VAT</t>
  </si>
  <si>
    <t>NET VAT DUE</t>
  </si>
  <si>
    <t>VAT TOTALS</t>
  </si>
  <si>
    <t>BALANCE SHEET</t>
  </si>
  <si>
    <t>CALUP</t>
  </si>
  <si>
    <t>CALLED UP SHARE CAPITAL</t>
  </si>
  <si>
    <t>EQUADJ</t>
  </si>
  <si>
    <t>EQUIPMENT ADJUSTMENTS</t>
  </si>
  <si>
    <t>BANK</t>
  </si>
  <si>
    <t>CASH</t>
  </si>
  <si>
    <t>DEBTORS</t>
  </si>
  <si>
    <t>LONLIA</t>
  </si>
  <si>
    <t>LONGTERM LIABILITIES</t>
  </si>
  <si>
    <t>FIXTUR</t>
  </si>
  <si>
    <t>FIXTURES</t>
  </si>
  <si>
    <t>MOTVEH</t>
  </si>
  <si>
    <t>MOTOR VEHICLES</t>
  </si>
  <si>
    <t>PLATOO</t>
  </si>
  <si>
    <t>PLANT &amp; TOOLS</t>
  </si>
  <si>
    <t>COR</t>
  </si>
  <si>
    <t>CORPORATION TAX</t>
  </si>
  <si>
    <t>VAT</t>
  </si>
  <si>
    <t>CREDITORS</t>
  </si>
  <si>
    <t>CAPITAL</t>
  </si>
  <si>
    <t>Submission checks (Does it add up?)</t>
  </si>
  <si>
    <t>Tolerance</t>
  </si>
  <si>
    <t>Status</t>
  </si>
  <si>
    <t>Year</t>
  </si>
  <si>
    <t>Description</t>
  </si>
  <si>
    <t>OpeningCapital</t>
  </si>
  <si>
    <t>ClosingCapital</t>
  </si>
  <si>
    <t>Profit</t>
  </si>
  <si>
    <t>BusinessTax</t>
  </si>
  <si>
    <t>ProfitAfterTax</t>
  </si>
  <si>
    <t>CapitalMovement</t>
  </si>
  <si>
    <t>OpeningSubjectPosition</t>
  </si>
  <si>
    <t>OpeningAccountPosition</t>
  </si>
  <si>
    <t>CapitalDelta</t>
  </si>
  <si>
    <t>BridgeTotal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</si>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</sst>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;_-"/>
    <numFmt numFmtId="165" formatCode="#,##0.00;[Red]\(#,##0.00\);_-"/>
  </numFmts>
  <fonts count="10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8"/>
      <color rgb="FF000000"/>
      <name val="Calibri"/>
      <family val="2"/>
    </font>
    <font>
      <b/>
      <sz val="11"/>
      <color rgb="FFFFFFFF"/>
      <name val="Calibri"/>
      <family val="2"/>
    </font>
    <font>
      <b/>
      <sz val="12"/>
      <color rgb="FF000000"/>
      <name val="Calibri"/>
      <family val="2"/>
    </font>
    <font>
      <b/>
      <sz val="11"/>
      <color rgb="FF6495ED"/>
      <name val="Calibri"/>
      <family val="2"/>
    </font>
    <font>
      <b/>
      <sz val="11"/>
      <color rgb="FFFFA07A"/>
      <name val="Calibri"/>
      <family val="2"/>
    </font>
    <font>
      <b/>
      <sz val="11"/>
      <color rgb="FFD3D3D3"/>
      <name val="Calibri"/>
      <family val="2"/>
    </font>
    <font>
      <sz val="11"/>
      <color rgb="FF32CD32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6495ED"/>
      </patternFill>
    </fill>
    <fill>
      <patternFill patternType="solid">
        <fgColor rgb="FFFFA07A"/>
      </patternFill>
    </fill>
    <fill>
      <patternFill patternType="solid">
        <fgColor rgb="FF90EE90"/>
      </patternFill>
    </fill>
    <fill>
      <patternFill patternType="solid">
        <fgColor rgb="FFD3D3D3"/>
      </patternFill>
    </fill>
    <fill>
      <patternFill patternType="solid">
        <fgColor rgb="FFADFF2F"/>
      </patternFill>
    </fill>
    <fill>
      <patternFill patternType="solid">
        <fgColor rgb="FF32CD32"/>
      </patternFill>
    </fill>
    <fill>
      <patternFill patternType="solid">
        <fgColor rgb="FFB0C4DE"/>
      </patternFill>
    </fill>
    <fill>
      <patternFill patternType="solid">
        <fgColor rgb="FFDA70D6"/>
      </patternFill>
    </fill>
    <fill>
      <patternFill patternType="solid">
        <fgColor rgb="FFFF0000"/>
      </patternFill>
    </fill>
  </fills>
  <borders count="18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n">
        <color rgb="FF000000"/>
      </left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 applyBorder="0"/>
  </cellStyleXfs>
  <cellXfs count="115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164" fontId="0" fillId="0" borderId="0" xfId="0" applyNumberFormat="1" applyProtection="1">
      <protection locked="0"/>
    </xf>
    <xf numFmtId="164" fontId="1" fillId="0" borderId="2" xfId="0" applyNumberFormat="1" applyFont="1" applyBorder="1"/>
    <xf numFmtId="164" fontId="0" fillId="2" borderId="0" xfId="0" applyNumberFormat="1" applyFill="1" applyProtection="1">
      <protection locked="0"/>
    </xf>
    <xf numFmtId="0" fontId="2" fillId="0" borderId="0" xfId="0" applyFont="1"/>
    <xf numFmtId="0" fontId="3" fillId="0" borderId="3" xfId="0" applyFont="1" applyBorder="1"/>
    <xf numFmtId="0" fontId="1" fillId="0" borderId="4" xfId="0" applyFont="1" applyBorder="1" applyProtection="1">
      <protection locked="0"/>
    </xf>
    <xf numFmtId="0" fontId="1" fillId="3" borderId="5" xfId="0" applyFont="1" applyFill="1" applyBorder="1" applyProtection="1">
      <protection locked="0"/>
    </xf>
    <xf numFmtId="0" fontId="1" fillId="4" borderId="5" xfId="0" applyFont="1" applyFill="1" applyBorder="1" applyProtection="1">
      <protection locked="0"/>
    </xf>
    <xf numFmtId="0" fontId="1" fillId="5" borderId="5" xfId="0" applyFont="1" applyFill="1" applyBorder="1"/>
    <xf numFmtId="0" fontId="0" fillId="0" borderId="6" xfId="0" applyBorder="1"/>
    <xf numFmtId="0" fontId="1" fillId="0" borderId="3" xfId="0" applyFont="1" applyBorder="1"/>
    <xf numFmtId="0" fontId="1" fillId="6" borderId="5" xfId="0" applyFont="1" applyFill="1" applyBorder="1" applyProtection="1">
      <protection locked="0"/>
    </xf>
    <xf numFmtId="0" fontId="1" fillId="7" borderId="5" xfId="0" applyFont="1" applyFill="1" applyBorder="1" applyProtection="1">
      <protection locked="0"/>
    </xf>
    <xf numFmtId="0" fontId="1" fillId="8" borderId="5" xfId="0" applyFont="1" applyFill="1" applyBorder="1"/>
    <xf numFmtId="9" fontId="0" fillId="0" borderId="0" xfId="0" applyNumberFormat="1"/>
    <xf numFmtId="2" fontId="0" fillId="0" borderId="0" xfId="0" applyNumberFormat="1"/>
    <xf numFmtId="9" fontId="0" fillId="0" borderId="6" xfId="0" applyNumberFormat="1" applyBorder="1"/>
    <xf numFmtId="0" fontId="1" fillId="9" borderId="5" xfId="0" applyFont="1" applyFill="1" applyBorder="1"/>
    <xf numFmtId="0" fontId="1" fillId="0" borderId="5" xfId="0" applyFont="1" applyBorder="1" applyProtection="1">
      <protection locked="0"/>
    </xf>
    <xf numFmtId="0" fontId="1" fillId="10" borderId="5" xfId="0" applyFont="1" applyFill="1" applyBorder="1"/>
    <xf numFmtId="0" fontId="1" fillId="0" borderId="6" xfId="0" applyFont="1" applyBorder="1" applyProtection="1">
      <protection locked="0"/>
    </xf>
    <xf numFmtId="0" fontId="0" fillId="0" borderId="7" xfId="0" applyBorder="1" applyProtection="1">
      <protection locked="0"/>
    </xf>
    <xf numFmtId="0" fontId="4" fillId="11" borderId="5" xfId="0" applyFont="1" applyFill="1" applyBorder="1"/>
    <xf numFmtId="0" fontId="5" fillId="0" borderId="0" xfId="0" applyFont="1"/>
    <xf numFmtId="164" fontId="0" fillId="0" borderId="0" xfId="0" applyNumberFormat="1"/>
    <xf numFmtId="164" fontId="0" fillId="2" borderId="0" xfId="0" applyNumberFormat="1" applyFill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164" fontId="2" fillId="0" borderId="0" xfId="0" applyNumberFormat="1" applyFont="1"/>
    <xf numFmtId="164" fontId="2" fillId="0" borderId="2" xfId="0" applyNumberFormat="1" applyFont="1" applyBorder="1"/>
    <xf numFmtId="164" fontId="2" fillId="2" borderId="0" xfId="0" applyNumberFormat="1" applyFont="1" applyFill="1"/>
    <xf numFmtId="0" fontId="3" fillId="0" borderId="8" xfId="0" applyFont="1" applyBorder="1"/>
    <xf numFmtId="164" fontId="3" fillId="0" borderId="3" xfId="0" applyNumberFormat="1" applyFont="1" applyBorder="1"/>
    <xf numFmtId="164" fontId="3" fillId="0" borderId="9" xfId="0" applyNumberFormat="1" applyFont="1" applyBorder="1"/>
    <xf numFmtId="164" fontId="3" fillId="2" borderId="3" xfId="0" applyNumberFormat="1" applyFont="1" applyFill="1" applyBorder="1"/>
    <xf numFmtId="0" fontId="1" fillId="0" borderId="4" xfId="0" applyFont="1" applyBorder="1"/>
    <xf numFmtId="0" fontId="1" fillId="0" borderId="10" xfId="0" applyFont="1" applyBorder="1"/>
    <xf numFmtId="164" fontId="1" fillId="0" borderId="4" xfId="0" applyNumberFormat="1" applyFont="1" applyBorder="1" applyProtection="1">
      <protection locked="0"/>
    </xf>
    <xf numFmtId="164" fontId="1" fillId="0" borderId="11" xfId="0" applyNumberFormat="1" applyFont="1" applyBorder="1"/>
    <xf numFmtId="164" fontId="1" fillId="2" borderId="4" xfId="0" applyNumberFormat="1" applyFont="1" applyFill="1" applyBorder="1" applyProtection="1">
      <protection locked="0"/>
    </xf>
    <xf numFmtId="0" fontId="1" fillId="3" borderId="5" xfId="0" applyFont="1" applyFill="1" applyBorder="1"/>
    <xf numFmtId="0" fontId="1" fillId="3" borderId="12" xfId="0" applyFont="1" applyFill="1" applyBorder="1"/>
    <xf numFmtId="0" fontId="6" fillId="3" borderId="5" xfId="0" applyFont="1" applyFill="1" applyBorder="1"/>
    <xf numFmtId="164" fontId="1" fillId="3" borderId="5" xfId="0" applyNumberFormat="1" applyFont="1" applyFill="1" applyBorder="1" applyProtection="1">
      <protection locked="0"/>
    </xf>
    <xf numFmtId="164" fontId="1" fillId="3" borderId="13" xfId="0" applyNumberFormat="1" applyFont="1" applyFill="1" applyBorder="1"/>
    <xf numFmtId="0" fontId="1" fillId="4" borderId="5" xfId="0" applyFont="1" applyFill="1" applyBorder="1"/>
    <xf numFmtId="0" fontId="1" fillId="4" borderId="12" xfId="0" applyFont="1" applyFill="1" applyBorder="1"/>
    <xf numFmtId="0" fontId="7" fillId="4" borderId="5" xfId="0" applyFont="1" applyFill="1" applyBorder="1"/>
    <xf numFmtId="164" fontId="1" fillId="4" borderId="5" xfId="0" applyNumberFormat="1" applyFont="1" applyFill="1" applyBorder="1" applyProtection="1">
      <protection locked="0"/>
    </xf>
    <xf numFmtId="164" fontId="1" fillId="4" borderId="13" xfId="0" applyNumberFormat="1" applyFont="1" applyFill="1" applyBorder="1"/>
    <xf numFmtId="0" fontId="1" fillId="5" borderId="12" xfId="0" applyFont="1" applyFill="1" applyBorder="1"/>
    <xf numFmtId="164" fontId="1" fillId="5" borderId="5" xfId="0" applyNumberFormat="1" applyFont="1" applyFill="1" applyBorder="1"/>
    <xf numFmtId="164" fontId="1" fillId="5" borderId="13" xfId="0" applyNumberFormat="1" applyFont="1" applyFill="1" applyBorder="1"/>
    <xf numFmtId="0" fontId="0" fillId="0" borderId="14" xfId="0" applyBorder="1"/>
    <xf numFmtId="164" fontId="0" fillId="0" borderId="6" xfId="0" applyNumberFormat="1" applyBorder="1"/>
    <xf numFmtId="164" fontId="1" fillId="0" borderId="15" xfId="0" applyNumberFormat="1" applyFont="1" applyBorder="1"/>
    <xf numFmtId="164" fontId="0" fillId="2" borderId="6" xfId="0" applyNumberFormat="1" applyFill="1" applyBorder="1"/>
    <xf numFmtId="0" fontId="1" fillId="0" borderId="8" xfId="0" applyFont="1" applyBorder="1"/>
    <xf numFmtId="164" fontId="1" fillId="0" borderId="3" xfId="0" applyNumberFormat="1" applyFont="1" applyBorder="1"/>
    <xf numFmtId="164" fontId="1" fillId="0" borderId="9" xfId="0" applyNumberFormat="1" applyFont="1" applyBorder="1"/>
    <xf numFmtId="164" fontId="1" fillId="2" borderId="3" xfId="0" applyNumberFormat="1" applyFont="1" applyFill="1" applyBorder="1"/>
    <xf numFmtId="0" fontId="1" fillId="6" borderId="5" xfId="0" applyFont="1" applyFill="1" applyBorder="1"/>
    <xf numFmtId="0" fontId="1" fillId="6" borderId="12" xfId="0" applyFont="1" applyFill="1" applyBorder="1"/>
    <xf numFmtId="0" fontId="8" fillId="6" borderId="5" xfId="0" applyFont="1" applyFill="1" applyBorder="1"/>
    <xf numFmtId="164" fontId="1" fillId="6" borderId="5" xfId="0" applyNumberFormat="1" applyFont="1" applyFill="1" applyBorder="1" applyProtection="1">
      <protection locked="0"/>
    </xf>
    <xf numFmtId="164" fontId="1" fillId="6" borderId="13" xfId="0" applyNumberFormat="1" applyFont="1" applyFill="1" applyBorder="1"/>
    <xf numFmtId="0" fontId="1" fillId="7" borderId="5" xfId="0" applyFont="1" applyFill="1" applyBorder="1"/>
    <xf numFmtId="0" fontId="1" fillId="7" borderId="12" xfId="0" applyFont="1" applyFill="1" applyBorder="1"/>
    <xf numFmtId="164" fontId="1" fillId="7" borderId="5" xfId="0" applyNumberFormat="1" applyFont="1" applyFill="1" applyBorder="1" applyProtection="1">
      <protection locked="0"/>
    </xf>
    <xf numFmtId="164" fontId="1" fillId="7" borderId="13" xfId="0" applyNumberFormat="1" applyFont="1" applyFill="1" applyBorder="1"/>
    <xf numFmtId="0" fontId="1" fillId="8" borderId="12" xfId="0" applyFont="1" applyFill="1" applyBorder="1"/>
    <xf numFmtId="164" fontId="1" fillId="8" borderId="5" xfId="0" applyNumberFormat="1" applyFont="1" applyFill="1" applyBorder="1"/>
    <xf numFmtId="164" fontId="1" fillId="8" borderId="13" xfId="0" applyNumberFormat="1" applyFont="1" applyFill="1" applyBorder="1"/>
    <xf numFmtId="9" fontId="0" fillId="0" borderId="1" xfId="0" applyNumberFormat="1" applyBorder="1"/>
    <xf numFmtId="9" fontId="9" fillId="0" borderId="0" xfId="0" applyNumberFormat="1" applyFont="1"/>
    <xf numFmtId="9" fontId="1" fillId="0" borderId="2" xfId="0" applyNumberFormat="1" applyFont="1" applyBorder="1"/>
    <xf numFmtId="9" fontId="0" fillId="2" borderId="0" xfId="0" applyNumberFormat="1" applyFill="1"/>
    <xf numFmtId="2" fontId="0" fillId="0" borderId="1" xfId="0" applyNumberFormat="1" applyBorder="1"/>
    <xf numFmtId="2" fontId="9" fillId="0" borderId="0" xfId="0" applyNumberFormat="1" applyFont="1"/>
    <xf numFmtId="2" fontId="1" fillId="0" borderId="2" xfId="0" applyNumberFormat="1" applyFont="1" applyBorder="1"/>
    <xf numFmtId="2" fontId="0" fillId="2" borderId="0" xfId="0" applyNumberFormat="1" applyFill="1"/>
    <xf numFmtId="9" fontId="0" fillId="0" borderId="14" xfId="0" applyNumberFormat="1" applyBorder="1"/>
    <xf numFmtId="9" fontId="9" fillId="0" borderId="6" xfId="0" applyNumberFormat="1" applyFont="1" applyBorder="1"/>
    <xf numFmtId="9" fontId="1" fillId="0" borderId="15" xfId="0" applyNumberFormat="1" applyFont="1" applyBorder="1"/>
    <xf numFmtId="9" fontId="0" fillId="2" borderId="6" xfId="0" applyNumberFormat="1" applyFill="1" applyBorder="1"/>
    <xf numFmtId="0" fontId="1" fillId="9" borderId="12" xfId="0" applyFont="1" applyFill="1" applyBorder="1"/>
    <xf numFmtId="164" fontId="1" fillId="9" borderId="5" xfId="0" applyNumberFormat="1" applyFont="1" applyFill="1" applyBorder="1"/>
    <xf numFmtId="164" fontId="1" fillId="9" borderId="13" xfId="0" applyNumberFormat="1" applyFont="1" applyFill="1" applyBorder="1"/>
    <xf numFmtId="0" fontId="1" fillId="0" borderId="5" xfId="0" applyFont="1" applyBorder="1"/>
    <xf numFmtId="0" fontId="1" fillId="0" borderId="12" xfId="0" applyFont="1" applyBorder="1"/>
    <xf numFmtId="164" fontId="1" fillId="0" borderId="5" xfId="0" applyNumberFormat="1" applyFont="1" applyBorder="1" applyProtection="1">
      <protection locked="0"/>
    </xf>
    <xf numFmtId="164" fontId="1" fillId="0" borderId="13" xfId="0" applyNumberFormat="1" applyFont="1" applyBorder="1"/>
    <xf numFmtId="164" fontId="1" fillId="2" borderId="5" xfId="0" applyNumberFormat="1" applyFont="1" applyFill="1" applyBorder="1" applyProtection="1">
      <protection locked="0"/>
    </xf>
    <xf numFmtId="0" fontId="1" fillId="10" borderId="12" xfId="0" applyFont="1" applyFill="1" applyBorder="1"/>
    <xf numFmtId="164" fontId="1" fillId="10" borderId="5" xfId="0" applyNumberFormat="1" applyFont="1" applyFill="1" applyBorder="1"/>
    <xf numFmtId="164" fontId="1" fillId="10" borderId="13" xfId="0" applyNumberFormat="1" applyFont="1" applyFill="1" applyBorder="1"/>
    <xf numFmtId="0" fontId="0" fillId="0" borderId="7" xfId="0" applyBorder="1"/>
    <xf numFmtId="0" fontId="0" fillId="0" borderId="16" xfId="0" applyBorder="1"/>
    <xf numFmtId="164" fontId="0" fillId="0" borderId="7" xfId="0" applyNumberFormat="1" applyBorder="1" applyProtection="1">
      <protection locked="0"/>
    </xf>
    <xf numFmtId="164" fontId="1" fillId="0" borderId="17" xfId="0" applyNumberFormat="1" applyFont="1" applyBorder="1"/>
    <xf numFmtId="164" fontId="0" fillId="2" borderId="7" xfId="0" applyNumberFormat="1" applyFill="1" applyBorder="1" applyProtection="1">
      <protection locked="0"/>
    </xf>
    <xf numFmtId="0" fontId="1" fillId="0" borderId="6" xfId="0" applyFont="1" applyBorder="1"/>
    <xf numFmtId="0" fontId="1" fillId="0" borderId="14" xfId="0" applyFont="1" applyBorder="1"/>
    <xf numFmtId="164" fontId="1" fillId="0" borderId="6" xfId="0" applyNumberFormat="1" applyFont="1" applyBorder="1" applyProtection="1">
      <protection locked="0"/>
    </xf>
    <xf numFmtId="164" fontId="1" fillId="2" borderId="6" xfId="0" applyNumberFormat="1" applyFont="1" applyFill="1" applyBorder="1" applyProtection="1">
      <protection locked="0"/>
    </xf>
    <xf numFmtId="0" fontId="4" fillId="11" borderId="12" xfId="0" applyFont="1" applyFill="1" applyBorder="1"/>
    <xf numFmtId="164" fontId="4" fillId="11" borderId="5" xfId="0" applyNumberFormat="1" applyFont="1" applyFill="1" applyBorder="1"/>
    <xf numFmtId="164" fontId="4" fillId="11" borderId="13" xfId="0" applyNumberFormat="1" applyFont="1" applyFill="1" applyBorder="1"/>
    <xf numFmtId="0" fontId="1" fillId="0" borderId="0" xfId="0" applyFont="1"/>
    <xf numFmtId="165" fontId="0" fillId="0" borderId="0" xfId="0" applyNumberFormat="1"/>
    <xf numFmtId="165" fontId="1" fillId="0" borderId="0" xfId="0" applyNumberFormat="1" applyFont="1"/>
    <xf numFmtId="165" fontId="1" fillId="0" borderId="6" xfId="0" applyNumberFormat="1" applyFont="1" applyBorder="1"/>
  </cellXfs>
  <cellStyles count="1">
    <cellStyle name="Normal" xfId="0" builtinId="0"/>
  </cellStyles>
  <dxfs count="7">
    <dxf>
      <font>
        <color rgb="FF006400"/>
      </font>
      <fill>
        <patternFill patternType="solid">
          <fgColor auto="1"/>
          <bgColor rgb="FF90EE90"/>
        </patternFill>
      </fill>
    </dxf>
    <dxf>
      <font>
        <color rgb="FFFF8C00"/>
      </font>
      <fill>
        <patternFill patternType="solid">
          <fgColor auto="1"/>
          <bgColor rgb="FFFFFFE0"/>
        </patternFill>
      </fill>
    </dxf>
    <dxf>
      <font>
        <color rgb="FFFF0000"/>
      </font>
      <fill>
        <patternFill patternType="solid">
          <fgColor auto="1"/>
          <bgColor rgb="FFFFB6C1"/>
        </patternFill>
      </fill>
    </dxf>
    <dxf>
      <font>
        <color rgb="FF006400"/>
      </font>
      <fill>
        <patternFill patternType="solid">
          <fgColor auto="1"/>
          <bgColor rgb="FF90EE90"/>
        </patternFill>
      </fill>
    </dxf>
    <dxf>
      <font>
        <color rgb="FFFF8C00"/>
      </font>
      <fill>
        <patternFill patternType="solid">
          <fgColor auto="1"/>
          <bgColor rgb="FFFFFFE0"/>
        </patternFill>
      </fill>
    </dxf>
    <dxf>
      <font>
        <color rgb="FFFF0000"/>
      </font>
      <fill>
        <patternFill patternType="solid">
          <fgColor auto="1"/>
          <bgColor rgb="FFFFB6C1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81"/>
  <sheetViews>
    <sheetView tabSelected="1" workbookViewId="0">
      <pane xSplit="3" ySplit="4" topLeftCell="D5" activePane="bottomRight" state="frozenSplit"/>
      <selection pane="topRight"/>
      <selection pane="bottomLeft"/>
      <selection pane="bottomRight" activeCell="D5" sqref="D5"/>
    </sheetView>
  </sheetViews>
  <sheetFormatPr defaultRowHeight="15" x14ac:dyDescent="0.25"/>
  <cols>
    <col min="1" max="1" width="9.7109375" customWidth="1"/>
    <col min="2" max="2" width="25.7109375" style="2" customWidth="1"/>
    <col min="3" max="3" width="9.140625" hidden="1" customWidth="1"/>
    <col min="4" max="15" width="9.7109375" style="3" customWidth="1"/>
    <col min="16" max="16" width="9.7109375" style="4" customWidth="1"/>
    <col min="17" max="28" width="9.7109375" style="3" customWidth="1"/>
    <col min="29" max="29" width="9.7109375" style="4" customWidth="1"/>
    <col min="30" max="41" width="9.7109375" style="3" customWidth="1"/>
    <col min="42" max="42" width="9.7109375" style="4" customWidth="1"/>
    <col min="43" max="43" width="9.7109375" style="5" customWidth="1"/>
    <col min="44" max="54" width="9.7109375" style="3" customWidth="1"/>
    <col min="55" max="55" width="9.7109375" style="4" customWidth="1"/>
    <col min="56" max="67" width="9.7109375" style="3" customWidth="1"/>
    <col min="68" max="68" width="9.7109375" style="4" customWidth="1"/>
    <col min="69" max="69" width="9.140625" style="1" customWidth="1"/>
    <col min="70" max="16384" width="9.140625" style="1"/>
  </cols>
  <sheetData>
    <row r="1" spans="1:68" customFormat="1" ht="15.75" x14ac:dyDescent="0.25">
      <c r="A1" s="26" t="s">
        <v>0</v>
      </c>
      <c r="B1" s="2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4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4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4"/>
      <c r="AQ1" s="28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4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4"/>
    </row>
    <row r="2" spans="1:68" customFormat="1" x14ac:dyDescent="0.25">
      <c r="A2" s="6" t="s">
        <v>1</v>
      </c>
      <c r="B2" s="29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4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4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4"/>
      <c r="AQ2" s="28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4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4"/>
    </row>
    <row r="3" spans="1:68" s="6" customFormat="1" ht="12.75" x14ac:dyDescent="0.2">
      <c r="A3" s="6" t="s">
        <v>2</v>
      </c>
      <c r="B3" s="30" t="s">
        <v>3</v>
      </c>
      <c r="D3" s="31" t="s">
        <v>6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2" t="s">
        <v>19</v>
      </c>
      <c r="Q3" s="31" t="s">
        <v>21</v>
      </c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2" t="s">
        <v>22</v>
      </c>
      <c r="AD3" s="31" t="s">
        <v>23</v>
      </c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2" t="s">
        <v>24</v>
      </c>
      <c r="AQ3" s="33" t="s">
        <v>25</v>
      </c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2" t="s">
        <v>26</v>
      </c>
      <c r="BD3" s="31" t="s">
        <v>27</v>
      </c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2" t="s">
        <v>28</v>
      </c>
    </row>
    <row r="4" spans="1:68" s="7" customFormat="1" ht="11.25" x14ac:dyDescent="0.2">
      <c r="A4" s="7" t="s">
        <v>4</v>
      </c>
      <c r="B4" s="34" t="s">
        <v>5</v>
      </c>
      <c r="D4" s="35" t="s">
        <v>7</v>
      </c>
      <c r="E4" s="35" t="s">
        <v>8</v>
      </c>
      <c r="F4" s="35" t="s">
        <v>9</v>
      </c>
      <c r="G4" s="35" t="s">
        <v>10</v>
      </c>
      <c r="H4" s="35" t="s">
        <v>11</v>
      </c>
      <c r="I4" s="35" t="s">
        <v>12</v>
      </c>
      <c r="J4" s="35" t="s">
        <v>13</v>
      </c>
      <c r="K4" s="35" t="s">
        <v>14</v>
      </c>
      <c r="L4" s="35" t="s">
        <v>15</v>
      </c>
      <c r="M4" s="35" t="s">
        <v>16</v>
      </c>
      <c r="N4" s="35" t="s">
        <v>17</v>
      </c>
      <c r="O4" s="35" t="s">
        <v>18</v>
      </c>
      <c r="P4" s="36" t="s">
        <v>20</v>
      </c>
      <c r="Q4" s="35" t="s">
        <v>7</v>
      </c>
      <c r="R4" s="35" t="s">
        <v>8</v>
      </c>
      <c r="S4" s="35" t="s">
        <v>9</v>
      </c>
      <c r="T4" s="35" t="s">
        <v>10</v>
      </c>
      <c r="U4" s="35" t="s">
        <v>11</v>
      </c>
      <c r="V4" s="35" t="s">
        <v>12</v>
      </c>
      <c r="W4" s="35" t="s">
        <v>13</v>
      </c>
      <c r="X4" s="35" t="s">
        <v>14</v>
      </c>
      <c r="Y4" s="35" t="s">
        <v>15</v>
      </c>
      <c r="Z4" s="35" t="s">
        <v>16</v>
      </c>
      <c r="AA4" s="35" t="s">
        <v>17</v>
      </c>
      <c r="AB4" s="35" t="s">
        <v>18</v>
      </c>
      <c r="AC4" s="36" t="s">
        <v>20</v>
      </c>
      <c r="AD4" s="35" t="s">
        <v>7</v>
      </c>
      <c r="AE4" s="35" t="s">
        <v>8</v>
      </c>
      <c r="AF4" s="35" t="s">
        <v>9</v>
      </c>
      <c r="AG4" s="35" t="s">
        <v>10</v>
      </c>
      <c r="AH4" s="35" t="s">
        <v>11</v>
      </c>
      <c r="AI4" s="35" t="s">
        <v>12</v>
      </c>
      <c r="AJ4" s="35" t="s">
        <v>13</v>
      </c>
      <c r="AK4" s="35" t="s">
        <v>14</v>
      </c>
      <c r="AL4" s="35" t="s">
        <v>15</v>
      </c>
      <c r="AM4" s="35" t="s">
        <v>16</v>
      </c>
      <c r="AN4" s="35" t="s">
        <v>17</v>
      </c>
      <c r="AO4" s="35" t="s">
        <v>18</v>
      </c>
      <c r="AP4" s="36" t="s">
        <v>20</v>
      </c>
      <c r="AQ4" s="37" t="s">
        <v>7</v>
      </c>
      <c r="AR4" s="35" t="s">
        <v>8</v>
      </c>
      <c r="AS4" s="35" t="s">
        <v>9</v>
      </c>
      <c r="AT4" s="35" t="s">
        <v>10</v>
      </c>
      <c r="AU4" s="35" t="s">
        <v>11</v>
      </c>
      <c r="AV4" s="35" t="s">
        <v>12</v>
      </c>
      <c r="AW4" s="35" t="s">
        <v>13</v>
      </c>
      <c r="AX4" s="35" t="s">
        <v>14</v>
      </c>
      <c r="AY4" s="35" t="s">
        <v>15</v>
      </c>
      <c r="AZ4" s="35" t="s">
        <v>16</v>
      </c>
      <c r="BA4" s="35" t="s">
        <v>17</v>
      </c>
      <c r="BB4" s="35" t="s">
        <v>18</v>
      </c>
      <c r="BC4" s="36" t="s">
        <v>20</v>
      </c>
      <c r="BD4" s="35" t="s">
        <v>7</v>
      </c>
      <c r="BE4" s="35" t="s">
        <v>8</v>
      </c>
      <c r="BF4" s="35" t="s">
        <v>9</v>
      </c>
      <c r="BG4" s="35" t="s">
        <v>10</v>
      </c>
      <c r="BH4" s="35" t="s">
        <v>11</v>
      </c>
      <c r="BI4" s="35" t="s">
        <v>12</v>
      </c>
      <c r="BJ4" s="35" t="s">
        <v>13</v>
      </c>
      <c r="BK4" s="35" t="s">
        <v>14</v>
      </c>
      <c r="BL4" s="35" t="s">
        <v>15</v>
      </c>
      <c r="BM4" s="35" t="s">
        <v>16</v>
      </c>
      <c r="BN4" s="35" t="s">
        <v>17</v>
      </c>
      <c r="BO4" s="35" t="s">
        <v>18</v>
      </c>
      <c r="BP4" s="36" t="s">
        <v>20</v>
      </c>
    </row>
    <row r="6" spans="1:68" s="8" customFormat="1" x14ac:dyDescent="0.25">
      <c r="A6" s="38" t="s">
        <v>29</v>
      </c>
      <c r="B6" s="39"/>
      <c r="C6" s="38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1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1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1"/>
      <c r="AQ6" s="42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1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1"/>
    </row>
    <row r="7" spans="1:68" x14ac:dyDescent="0.25">
      <c r="A7" t="s">
        <v>30</v>
      </c>
      <c r="B7" s="2" t="s">
        <v>29</v>
      </c>
      <c r="D7" s="3">
        <v>0</v>
      </c>
      <c r="E7" s="3">
        <v>8992.9500000000007</v>
      </c>
      <c r="F7" s="3">
        <v>19608.330000000002</v>
      </c>
      <c r="G7" s="3">
        <v>16746.39</v>
      </c>
      <c r="H7" s="3">
        <v>5874.42</v>
      </c>
      <c r="I7" s="3">
        <v>23362.05</v>
      </c>
      <c r="J7" s="3">
        <v>9693.1200000000008</v>
      </c>
      <c r="K7" s="3">
        <v>25175.4</v>
      </c>
      <c r="L7" s="3">
        <v>13632.63</v>
      </c>
      <c r="M7" s="3">
        <v>31791.06</v>
      </c>
      <c r="N7" s="3">
        <v>26673.84</v>
      </c>
      <c r="O7" s="3">
        <v>31413.42</v>
      </c>
      <c r="P7" s="4">
        <f>SUM(D7:O7)</f>
        <v>212963.61</v>
      </c>
      <c r="Q7" s="3">
        <v>11843.64</v>
      </c>
      <c r="R7" s="3">
        <v>41841.54</v>
      </c>
      <c r="S7" s="3">
        <v>16614.240000000002</v>
      </c>
      <c r="T7" s="3">
        <v>35353.199999999997</v>
      </c>
      <c r="U7" s="3">
        <v>26700.48</v>
      </c>
      <c r="V7" s="3">
        <v>28303.41</v>
      </c>
      <c r="W7" s="3">
        <v>23415.57</v>
      </c>
      <c r="X7" s="3">
        <v>24358.89</v>
      </c>
      <c r="Y7" s="3">
        <v>10332.66</v>
      </c>
      <c r="Z7" s="3">
        <v>42557.85</v>
      </c>
      <c r="AA7" s="3">
        <v>10303.200000000001</v>
      </c>
      <c r="AB7" s="3">
        <v>30697.11</v>
      </c>
      <c r="AC7" s="4">
        <f>SUM(Q7:AB7)</f>
        <v>302321.79000000004</v>
      </c>
      <c r="AD7" s="3">
        <v>10588.635</v>
      </c>
      <c r="AE7" s="3">
        <v>21943.62</v>
      </c>
      <c r="AF7" s="3">
        <v>18487.650000000001</v>
      </c>
      <c r="AG7" s="3">
        <v>39447.839999999997</v>
      </c>
      <c r="AH7" s="3">
        <v>7074.39</v>
      </c>
      <c r="AI7" s="3">
        <v>37768.47</v>
      </c>
      <c r="AJ7" s="3">
        <v>13107.09</v>
      </c>
      <c r="AK7" s="3">
        <v>21795.87</v>
      </c>
      <c r="AL7" s="3">
        <v>13077.63</v>
      </c>
      <c r="AM7" s="3">
        <v>26905.08</v>
      </c>
      <c r="AN7" s="3">
        <v>27601.5</v>
      </c>
      <c r="AO7" s="3">
        <v>25735.65</v>
      </c>
      <c r="AP7" s="4">
        <f>SUM(AD7:AO7)</f>
        <v>263533.42499999999</v>
      </c>
      <c r="AQ7" s="5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4">
        <f>SUM(AQ7:BB7)</f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4">
        <f>SUM(BD7:BO7)</f>
        <v>0</v>
      </c>
    </row>
    <row r="8" spans="1:68" x14ac:dyDescent="0.25">
      <c r="A8" t="s">
        <v>31</v>
      </c>
      <c r="B8" s="2" t="s">
        <v>32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>SUM(D8:O8)</f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4">
        <f>SUM(Q8:AB8)</f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4">
        <f>SUM(AD8:AO8)</f>
        <v>0</v>
      </c>
      <c r="AQ8" s="5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4">
        <f>SUM(AQ8:BB8)</f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4">
        <f>SUM(BD8:BO8)</f>
        <v>0</v>
      </c>
    </row>
    <row r="9" spans="1:68" x14ac:dyDescent="0.25">
      <c r="A9" t="s">
        <v>33</v>
      </c>
      <c r="B9" s="2" t="s">
        <v>34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4">
        <f>SUM(D9:O9)</f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4">
        <f>SUM(Q9:AB9)</f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4">
        <f>SUM(AD9:AO9)</f>
        <v>0</v>
      </c>
      <c r="AQ9" s="5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4">
        <f>SUM(AQ9:BB9)</f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4">
        <f>SUM(BD9:BO9)</f>
        <v>0</v>
      </c>
    </row>
    <row r="10" spans="1:68" s="9" customFormat="1" x14ac:dyDescent="0.25">
      <c r="A10" s="43" t="s">
        <v>20</v>
      </c>
      <c r="B10" s="44"/>
      <c r="C10" s="45" t="s">
        <v>35</v>
      </c>
      <c r="D10" s="46">
        <f t="shared" ref="D10:AI10" si="0">SUM(D7:D9)</f>
        <v>0</v>
      </c>
      <c r="E10" s="46">
        <f t="shared" si="0"/>
        <v>8992.9500000000007</v>
      </c>
      <c r="F10" s="46">
        <f t="shared" si="0"/>
        <v>19608.330000000002</v>
      </c>
      <c r="G10" s="46">
        <f t="shared" si="0"/>
        <v>16746.39</v>
      </c>
      <c r="H10" s="46">
        <f t="shared" si="0"/>
        <v>5874.42</v>
      </c>
      <c r="I10" s="46">
        <f t="shared" si="0"/>
        <v>23362.05</v>
      </c>
      <c r="J10" s="46">
        <f t="shared" si="0"/>
        <v>9693.1200000000008</v>
      </c>
      <c r="K10" s="46">
        <f t="shared" si="0"/>
        <v>25175.4</v>
      </c>
      <c r="L10" s="46">
        <f t="shared" si="0"/>
        <v>13632.63</v>
      </c>
      <c r="M10" s="46">
        <f t="shared" si="0"/>
        <v>31791.06</v>
      </c>
      <c r="N10" s="46">
        <f t="shared" si="0"/>
        <v>26673.84</v>
      </c>
      <c r="O10" s="46">
        <f t="shared" si="0"/>
        <v>31413.42</v>
      </c>
      <c r="P10" s="47">
        <f t="shared" si="0"/>
        <v>212963.61</v>
      </c>
      <c r="Q10" s="46">
        <f t="shared" si="0"/>
        <v>11843.64</v>
      </c>
      <c r="R10" s="46">
        <f t="shared" si="0"/>
        <v>41841.54</v>
      </c>
      <c r="S10" s="46">
        <f t="shared" si="0"/>
        <v>16614.240000000002</v>
      </c>
      <c r="T10" s="46">
        <f t="shared" si="0"/>
        <v>35353.199999999997</v>
      </c>
      <c r="U10" s="46">
        <f t="shared" si="0"/>
        <v>26700.48</v>
      </c>
      <c r="V10" s="46">
        <f t="shared" si="0"/>
        <v>28303.41</v>
      </c>
      <c r="W10" s="46">
        <f t="shared" si="0"/>
        <v>23415.57</v>
      </c>
      <c r="X10" s="46">
        <f t="shared" si="0"/>
        <v>24358.89</v>
      </c>
      <c r="Y10" s="46">
        <f t="shared" si="0"/>
        <v>10332.66</v>
      </c>
      <c r="Z10" s="46">
        <f t="shared" si="0"/>
        <v>42557.85</v>
      </c>
      <c r="AA10" s="46">
        <f t="shared" si="0"/>
        <v>10303.200000000001</v>
      </c>
      <c r="AB10" s="46">
        <f t="shared" si="0"/>
        <v>30697.11</v>
      </c>
      <c r="AC10" s="47">
        <f t="shared" si="0"/>
        <v>302321.79000000004</v>
      </c>
      <c r="AD10" s="46">
        <f t="shared" si="0"/>
        <v>10588.635</v>
      </c>
      <c r="AE10" s="46">
        <f t="shared" si="0"/>
        <v>21943.62</v>
      </c>
      <c r="AF10" s="46">
        <f t="shared" si="0"/>
        <v>18487.650000000001</v>
      </c>
      <c r="AG10" s="46">
        <f t="shared" si="0"/>
        <v>39447.839999999997</v>
      </c>
      <c r="AH10" s="46">
        <f t="shared" si="0"/>
        <v>7074.39</v>
      </c>
      <c r="AI10" s="46">
        <f t="shared" si="0"/>
        <v>37768.47</v>
      </c>
      <c r="AJ10" s="46">
        <f t="shared" ref="AJ10:BO10" si="1">SUM(AJ7:AJ9)</f>
        <v>13107.09</v>
      </c>
      <c r="AK10" s="46">
        <f t="shared" si="1"/>
        <v>21795.87</v>
      </c>
      <c r="AL10" s="46">
        <f t="shared" si="1"/>
        <v>13077.63</v>
      </c>
      <c r="AM10" s="46">
        <f t="shared" si="1"/>
        <v>26905.08</v>
      </c>
      <c r="AN10" s="46">
        <f t="shared" si="1"/>
        <v>27601.5</v>
      </c>
      <c r="AO10" s="46">
        <f t="shared" si="1"/>
        <v>25735.65</v>
      </c>
      <c r="AP10" s="47">
        <f t="shared" si="1"/>
        <v>263533.42499999999</v>
      </c>
      <c r="AQ10" s="46">
        <f t="shared" si="1"/>
        <v>0</v>
      </c>
      <c r="AR10" s="46">
        <f t="shared" si="1"/>
        <v>0</v>
      </c>
      <c r="AS10" s="46">
        <f t="shared" si="1"/>
        <v>0</v>
      </c>
      <c r="AT10" s="46">
        <f t="shared" si="1"/>
        <v>0</v>
      </c>
      <c r="AU10" s="46">
        <f t="shared" si="1"/>
        <v>0</v>
      </c>
      <c r="AV10" s="46">
        <f t="shared" si="1"/>
        <v>0</v>
      </c>
      <c r="AW10" s="46">
        <f t="shared" si="1"/>
        <v>0</v>
      </c>
      <c r="AX10" s="46">
        <f t="shared" si="1"/>
        <v>0</v>
      </c>
      <c r="AY10" s="46">
        <f t="shared" si="1"/>
        <v>0</v>
      </c>
      <c r="AZ10" s="46">
        <f t="shared" si="1"/>
        <v>0</v>
      </c>
      <c r="BA10" s="46">
        <f t="shared" si="1"/>
        <v>0</v>
      </c>
      <c r="BB10" s="46">
        <f t="shared" si="1"/>
        <v>0</v>
      </c>
      <c r="BC10" s="47">
        <f t="shared" si="1"/>
        <v>0</v>
      </c>
      <c r="BD10" s="46">
        <f t="shared" si="1"/>
        <v>0</v>
      </c>
      <c r="BE10" s="46">
        <f t="shared" si="1"/>
        <v>0</v>
      </c>
      <c r="BF10" s="46">
        <f t="shared" si="1"/>
        <v>0</v>
      </c>
      <c r="BG10" s="46">
        <f t="shared" si="1"/>
        <v>0</v>
      </c>
      <c r="BH10" s="46">
        <f t="shared" si="1"/>
        <v>0</v>
      </c>
      <c r="BI10" s="46">
        <f t="shared" si="1"/>
        <v>0</v>
      </c>
      <c r="BJ10" s="46">
        <f t="shared" si="1"/>
        <v>0</v>
      </c>
      <c r="BK10" s="46">
        <f t="shared" si="1"/>
        <v>0</v>
      </c>
      <c r="BL10" s="46">
        <f t="shared" si="1"/>
        <v>0</v>
      </c>
      <c r="BM10" s="46">
        <f t="shared" si="1"/>
        <v>0</v>
      </c>
      <c r="BN10" s="46">
        <f t="shared" si="1"/>
        <v>0</v>
      </c>
      <c r="BO10" s="46">
        <f t="shared" si="1"/>
        <v>0</v>
      </c>
      <c r="BP10" s="47">
        <f t="shared" ref="BP10:CU10" si="2">SUM(BP7:BP9)</f>
        <v>0</v>
      </c>
    </row>
    <row r="12" spans="1:68" s="8" customFormat="1" x14ac:dyDescent="0.25">
      <c r="A12" s="38" t="s">
        <v>36</v>
      </c>
      <c r="B12" s="39"/>
      <c r="C12" s="38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1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1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1"/>
      <c r="AQ12" s="42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1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1"/>
    </row>
    <row r="13" spans="1:68" x14ac:dyDescent="0.25">
      <c r="A13" t="s">
        <v>37</v>
      </c>
      <c r="B13" s="2" t="s">
        <v>38</v>
      </c>
      <c r="D13" s="3">
        <v>5001</v>
      </c>
      <c r="E13" s="3">
        <v>122.5</v>
      </c>
      <c r="F13" s="3">
        <v>111.67</v>
      </c>
      <c r="G13" s="3">
        <v>39.17</v>
      </c>
      <c r="H13" s="3">
        <v>28.33</v>
      </c>
      <c r="I13" s="3">
        <v>79.17</v>
      </c>
      <c r="J13" s="3">
        <v>40</v>
      </c>
      <c r="K13" s="3">
        <v>112.5</v>
      </c>
      <c r="L13" s="3">
        <v>61.67</v>
      </c>
      <c r="M13" s="3">
        <v>72.5</v>
      </c>
      <c r="N13" s="3">
        <v>79.17</v>
      </c>
      <c r="O13" s="3">
        <v>104.17</v>
      </c>
      <c r="P13" s="4">
        <f>SUM(D13:O13)</f>
        <v>5851.85</v>
      </c>
      <c r="Q13" s="3">
        <v>92.5</v>
      </c>
      <c r="R13" s="3">
        <v>30.83</v>
      </c>
      <c r="S13" s="3">
        <v>123.33</v>
      </c>
      <c r="T13" s="3">
        <v>60.83</v>
      </c>
      <c r="U13" s="3">
        <v>50</v>
      </c>
      <c r="V13" s="3">
        <v>65.83</v>
      </c>
      <c r="W13" s="3">
        <v>107.5</v>
      </c>
      <c r="X13" s="3">
        <v>95.83</v>
      </c>
      <c r="Y13" s="3">
        <v>82.5</v>
      </c>
      <c r="Z13" s="3">
        <v>57.5</v>
      </c>
      <c r="AA13" s="3">
        <v>69.17</v>
      </c>
      <c r="AB13" s="3">
        <v>33.33</v>
      </c>
      <c r="AC13" s="4">
        <f>SUM(Q13:AB13)</f>
        <v>869.15</v>
      </c>
      <c r="AD13" s="3">
        <v>38.33</v>
      </c>
      <c r="AE13" s="3">
        <v>100.83</v>
      </c>
      <c r="AF13" s="3">
        <v>118.33</v>
      </c>
      <c r="AG13" s="3">
        <v>95.83</v>
      </c>
      <c r="AH13" s="3">
        <v>54.17</v>
      </c>
      <c r="AI13" s="3">
        <v>72.5</v>
      </c>
      <c r="AJ13" s="3">
        <v>31.67</v>
      </c>
      <c r="AK13" s="3">
        <v>110.83</v>
      </c>
      <c r="AL13" s="3">
        <v>95.83</v>
      </c>
      <c r="AM13" s="3">
        <v>78.33</v>
      </c>
      <c r="AN13" s="3">
        <v>76.67</v>
      </c>
      <c r="AO13" s="3">
        <v>61.67</v>
      </c>
      <c r="AP13" s="4">
        <f>SUM(AD13:AO13)</f>
        <v>934.99</v>
      </c>
      <c r="AQ13" s="5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4">
        <f>SUM(AQ13:BB13)</f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4">
        <f>SUM(BD13:BO13)</f>
        <v>0</v>
      </c>
    </row>
    <row r="14" spans="1:68" s="9" customFormat="1" x14ac:dyDescent="0.25">
      <c r="A14" s="43" t="s">
        <v>20</v>
      </c>
      <c r="B14" s="44"/>
      <c r="C14" s="45" t="s">
        <v>39</v>
      </c>
      <c r="D14" s="46">
        <f t="shared" ref="D14:AI14" si="3">SUM(D13:D13)</f>
        <v>5001</v>
      </c>
      <c r="E14" s="46">
        <f t="shared" si="3"/>
        <v>122.5</v>
      </c>
      <c r="F14" s="46">
        <f t="shared" si="3"/>
        <v>111.67</v>
      </c>
      <c r="G14" s="46">
        <f t="shared" si="3"/>
        <v>39.17</v>
      </c>
      <c r="H14" s="46">
        <f t="shared" si="3"/>
        <v>28.33</v>
      </c>
      <c r="I14" s="46">
        <f t="shared" si="3"/>
        <v>79.17</v>
      </c>
      <c r="J14" s="46">
        <f t="shared" si="3"/>
        <v>40</v>
      </c>
      <c r="K14" s="46">
        <f t="shared" si="3"/>
        <v>112.5</v>
      </c>
      <c r="L14" s="46">
        <f t="shared" si="3"/>
        <v>61.67</v>
      </c>
      <c r="M14" s="46">
        <f t="shared" si="3"/>
        <v>72.5</v>
      </c>
      <c r="N14" s="46">
        <f t="shared" si="3"/>
        <v>79.17</v>
      </c>
      <c r="O14" s="46">
        <f t="shared" si="3"/>
        <v>104.17</v>
      </c>
      <c r="P14" s="47">
        <f t="shared" si="3"/>
        <v>5851.85</v>
      </c>
      <c r="Q14" s="46">
        <f t="shared" si="3"/>
        <v>92.5</v>
      </c>
      <c r="R14" s="46">
        <f t="shared" si="3"/>
        <v>30.83</v>
      </c>
      <c r="S14" s="46">
        <f t="shared" si="3"/>
        <v>123.33</v>
      </c>
      <c r="T14" s="46">
        <f t="shared" si="3"/>
        <v>60.83</v>
      </c>
      <c r="U14" s="46">
        <f t="shared" si="3"/>
        <v>50</v>
      </c>
      <c r="V14" s="46">
        <f t="shared" si="3"/>
        <v>65.83</v>
      </c>
      <c r="W14" s="46">
        <f t="shared" si="3"/>
        <v>107.5</v>
      </c>
      <c r="X14" s="46">
        <f t="shared" si="3"/>
        <v>95.83</v>
      </c>
      <c r="Y14" s="46">
        <f t="shared" si="3"/>
        <v>82.5</v>
      </c>
      <c r="Z14" s="46">
        <f t="shared" si="3"/>
        <v>57.5</v>
      </c>
      <c r="AA14" s="46">
        <f t="shared" si="3"/>
        <v>69.17</v>
      </c>
      <c r="AB14" s="46">
        <f t="shared" si="3"/>
        <v>33.33</v>
      </c>
      <c r="AC14" s="47">
        <f t="shared" si="3"/>
        <v>869.15</v>
      </c>
      <c r="AD14" s="46">
        <f t="shared" si="3"/>
        <v>38.33</v>
      </c>
      <c r="AE14" s="46">
        <f t="shared" si="3"/>
        <v>100.83</v>
      </c>
      <c r="AF14" s="46">
        <f t="shared" si="3"/>
        <v>118.33</v>
      </c>
      <c r="AG14" s="46">
        <f t="shared" si="3"/>
        <v>95.83</v>
      </c>
      <c r="AH14" s="46">
        <f t="shared" si="3"/>
        <v>54.17</v>
      </c>
      <c r="AI14" s="46">
        <f t="shared" si="3"/>
        <v>72.5</v>
      </c>
      <c r="AJ14" s="46">
        <f t="shared" ref="AJ14:BO14" si="4">SUM(AJ13:AJ13)</f>
        <v>31.67</v>
      </c>
      <c r="AK14" s="46">
        <f t="shared" si="4"/>
        <v>110.83</v>
      </c>
      <c r="AL14" s="46">
        <f t="shared" si="4"/>
        <v>95.83</v>
      </c>
      <c r="AM14" s="46">
        <f t="shared" si="4"/>
        <v>78.33</v>
      </c>
      <c r="AN14" s="46">
        <f t="shared" si="4"/>
        <v>76.67</v>
      </c>
      <c r="AO14" s="46">
        <f t="shared" si="4"/>
        <v>61.67</v>
      </c>
      <c r="AP14" s="47">
        <f t="shared" si="4"/>
        <v>934.99</v>
      </c>
      <c r="AQ14" s="46">
        <f t="shared" si="4"/>
        <v>0</v>
      </c>
      <c r="AR14" s="46">
        <f t="shared" si="4"/>
        <v>0</v>
      </c>
      <c r="AS14" s="46">
        <f t="shared" si="4"/>
        <v>0</v>
      </c>
      <c r="AT14" s="46">
        <f t="shared" si="4"/>
        <v>0</v>
      </c>
      <c r="AU14" s="46">
        <f t="shared" si="4"/>
        <v>0</v>
      </c>
      <c r="AV14" s="46">
        <f t="shared" si="4"/>
        <v>0</v>
      </c>
      <c r="AW14" s="46">
        <f t="shared" si="4"/>
        <v>0</v>
      </c>
      <c r="AX14" s="46">
        <f t="shared" si="4"/>
        <v>0</v>
      </c>
      <c r="AY14" s="46">
        <f t="shared" si="4"/>
        <v>0</v>
      </c>
      <c r="AZ14" s="46">
        <f t="shared" si="4"/>
        <v>0</v>
      </c>
      <c r="BA14" s="46">
        <f t="shared" si="4"/>
        <v>0</v>
      </c>
      <c r="BB14" s="46">
        <f t="shared" si="4"/>
        <v>0</v>
      </c>
      <c r="BC14" s="47">
        <f t="shared" si="4"/>
        <v>0</v>
      </c>
      <c r="BD14" s="46">
        <f t="shared" si="4"/>
        <v>0</v>
      </c>
      <c r="BE14" s="46">
        <f t="shared" si="4"/>
        <v>0</v>
      </c>
      <c r="BF14" s="46">
        <f t="shared" si="4"/>
        <v>0</v>
      </c>
      <c r="BG14" s="46">
        <f t="shared" si="4"/>
        <v>0</v>
      </c>
      <c r="BH14" s="46">
        <f t="shared" si="4"/>
        <v>0</v>
      </c>
      <c r="BI14" s="46">
        <f t="shared" si="4"/>
        <v>0</v>
      </c>
      <c r="BJ14" s="46">
        <f t="shared" si="4"/>
        <v>0</v>
      </c>
      <c r="BK14" s="46">
        <f t="shared" si="4"/>
        <v>0</v>
      </c>
      <c r="BL14" s="46">
        <f t="shared" si="4"/>
        <v>0</v>
      </c>
      <c r="BM14" s="46">
        <f t="shared" si="4"/>
        <v>0</v>
      </c>
      <c r="BN14" s="46">
        <f t="shared" si="4"/>
        <v>0</v>
      </c>
      <c r="BO14" s="46">
        <f t="shared" si="4"/>
        <v>0</v>
      </c>
      <c r="BP14" s="47">
        <f t="shared" ref="BP14:CU14" si="5">SUM(BP13:BP13)</f>
        <v>0</v>
      </c>
    </row>
    <row r="16" spans="1:68" s="8" customFormat="1" x14ac:dyDescent="0.25">
      <c r="A16" s="38" t="s">
        <v>40</v>
      </c>
      <c r="B16" s="39"/>
      <c r="C16" s="38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1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1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1"/>
      <c r="AQ16" s="42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1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1"/>
    </row>
    <row r="17" spans="1:68" x14ac:dyDescent="0.25">
      <c r="A17" t="s">
        <v>41</v>
      </c>
      <c r="B17" s="2" t="s">
        <v>40</v>
      </c>
      <c r="D17" s="3">
        <v>0</v>
      </c>
      <c r="E17" s="3">
        <v>4941.2196000000004</v>
      </c>
      <c r="F17" s="3">
        <v>3078.0001200000002</v>
      </c>
      <c r="G17" s="3">
        <v>3424.8131600000002</v>
      </c>
      <c r="H17" s="3">
        <v>1058.51368</v>
      </c>
      <c r="I17" s="3">
        <v>5309.4542000000001</v>
      </c>
      <c r="J17" s="3">
        <v>1814.8212799999999</v>
      </c>
      <c r="K17" s="3">
        <v>5988.4116000000004</v>
      </c>
      <c r="L17" s="3">
        <v>1248.9721199999999</v>
      </c>
      <c r="M17" s="3">
        <v>6764.7426400000004</v>
      </c>
      <c r="N17" s="3">
        <v>7389.2189600000002</v>
      </c>
      <c r="O17" s="3">
        <v>2389.4604800000002</v>
      </c>
      <c r="P17" s="4">
        <f t="shared" ref="P17:P22" si="6">SUM(D17:O17)</f>
        <v>43407.627840000001</v>
      </c>
      <c r="Q17" s="3">
        <v>2186.11832</v>
      </c>
      <c r="R17" s="3">
        <v>8722.9057599999996</v>
      </c>
      <c r="S17" s="3">
        <v>1925.93896</v>
      </c>
      <c r="T17" s="3">
        <v>7470.5508</v>
      </c>
      <c r="U17" s="3">
        <v>6483.9383200000002</v>
      </c>
      <c r="V17" s="3">
        <v>1930.87004</v>
      </c>
      <c r="W17" s="3">
        <v>3569.6218800000001</v>
      </c>
      <c r="X17" s="3">
        <v>6480.0271599999996</v>
      </c>
      <c r="Y17" s="3">
        <v>934.08744000000002</v>
      </c>
      <c r="Z17" s="3">
        <v>7660.7893999999997</v>
      </c>
      <c r="AA17" s="3">
        <v>1790.8607999999999</v>
      </c>
      <c r="AB17" s="3">
        <v>6135.5168400000002</v>
      </c>
      <c r="AC17" s="4">
        <f t="shared" ref="AC17:AC22" si="7">SUM(Q17:AB17)</f>
        <v>55291.225720000002</v>
      </c>
      <c r="AD17" s="3">
        <v>8175.58788</v>
      </c>
      <c r="AE17" s="3">
        <v>466.33927999999997</v>
      </c>
      <c r="AF17" s="3">
        <v>2973.5293999999999</v>
      </c>
      <c r="AG17" s="3">
        <v>8106.1789600000002</v>
      </c>
      <c r="AH17" s="3">
        <v>5137.4703600000003</v>
      </c>
      <c r="AI17" s="3">
        <v>2498.6486799999998</v>
      </c>
      <c r="AJ17" s="3">
        <v>2208.6407599999998</v>
      </c>
      <c r="AK17" s="3">
        <v>4859.4622799999997</v>
      </c>
      <c r="AL17" s="3">
        <v>2204.5541199999998</v>
      </c>
      <c r="AM17" s="3">
        <v>6395.3635199999999</v>
      </c>
      <c r="AN17" s="3">
        <v>3332.0012000000002</v>
      </c>
      <c r="AO17" s="3">
        <v>14317.0926</v>
      </c>
      <c r="AP17" s="4">
        <f t="shared" ref="AP17:AP22" si="8">SUM(AD17:AO17)</f>
        <v>60674.86903999999</v>
      </c>
      <c r="AQ17" s="5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4">
        <f t="shared" ref="BC17:BC22" si="9">SUM(AQ17:BB17)</f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4">
        <f t="shared" ref="BP17:BP22" si="10">SUM(BD17:BO17)</f>
        <v>0</v>
      </c>
    </row>
    <row r="18" spans="1:68" x14ac:dyDescent="0.25">
      <c r="A18" t="s">
        <v>42</v>
      </c>
      <c r="B18" s="2" t="s">
        <v>43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4">
        <f t="shared" si="6"/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4">
        <f t="shared" si="7"/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4">
        <f t="shared" si="8"/>
        <v>0</v>
      </c>
      <c r="AQ18" s="5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4">
        <f t="shared" si="9"/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4">
        <f t="shared" si="10"/>
        <v>0</v>
      </c>
    </row>
    <row r="19" spans="1:68" x14ac:dyDescent="0.25">
      <c r="A19" t="s">
        <v>44</v>
      </c>
      <c r="B19" s="2" t="s">
        <v>45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4">
        <f t="shared" si="6"/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4">
        <f t="shared" si="7"/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4">
        <f t="shared" si="8"/>
        <v>0</v>
      </c>
      <c r="AQ19" s="5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4">
        <f t="shared" si="9"/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4">
        <f t="shared" si="10"/>
        <v>0</v>
      </c>
    </row>
    <row r="20" spans="1:68" x14ac:dyDescent="0.25">
      <c r="A20" t="s">
        <v>46</v>
      </c>
      <c r="B20" s="2" t="s">
        <v>47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f t="shared" si="6"/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4">
        <f t="shared" si="7"/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4">
        <f t="shared" si="8"/>
        <v>0</v>
      </c>
      <c r="AQ20" s="5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4">
        <f t="shared" si="9"/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4">
        <f t="shared" si="10"/>
        <v>0</v>
      </c>
    </row>
    <row r="21" spans="1:68" x14ac:dyDescent="0.25">
      <c r="A21" t="s">
        <v>48</v>
      </c>
      <c r="B21" s="2" t="s">
        <v>49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4166.67</v>
      </c>
      <c r="P21" s="4">
        <f t="shared" si="6"/>
        <v>4166.67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4">
        <f t="shared" si="7"/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4">
        <f t="shared" si="8"/>
        <v>0</v>
      </c>
      <c r="AQ21" s="5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4">
        <f t="shared" si="9"/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4">
        <f t="shared" si="10"/>
        <v>0</v>
      </c>
    </row>
    <row r="22" spans="1:68" x14ac:dyDescent="0.25">
      <c r="A22" t="s">
        <v>50</v>
      </c>
      <c r="B22" s="2" t="s">
        <v>51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4">
        <f t="shared" si="6"/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4">
        <f t="shared" si="7"/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4">
        <f t="shared" si="8"/>
        <v>0</v>
      </c>
      <c r="AQ22" s="5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4">
        <f t="shared" si="9"/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4">
        <f t="shared" si="10"/>
        <v>0</v>
      </c>
    </row>
    <row r="23" spans="1:68" s="10" customFormat="1" x14ac:dyDescent="0.25">
      <c r="A23" s="48" t="s">
        <v>20</v>
      </c>
      <c r="B23" s="49"/>
      <c r="C23" s="50" t="s">
        <v>52</v>
      </c>
      <c r="D23" s="51">
        <f t="shared" ref="D23:AI23" si="11">SUM(D17:D22)*-1</f>
        <v>0</v>
      </c>
      <c r="E23" s="51">
        <f t="shared" si="11"/>
        <v>-4941.2196000000004</v>
      </c>
      <c r="F23" s="51">
        <f t="shared" si="11"/>
        <v>-3078.0001200000002</v>
      </c>
      <c r="G23" s="51">
        <f t="shared" si="11"/>
        <v>-3424.8131600000002</v>
      </c>
      <c r="H23" s="51">
        <f t="shared" si="11"/>
        <v>-1058.51368</v>
      </c>
      <c r="I23" s="51">
        <f t="shared" si="11"/>
        <v>-5309.4542000000001</v>
      </c>
      <c r="J23" s="51">
        <f t="shared" si="11"/>
        <v>-1814.8212799999999</v>
      </c>
      <c r="K23" s="51">
        <f t="shared" si="11"/>
        <v>-5988.4116000000004</v>
      </c>
      <c r="L23" s="51">
        <f t="shared" si="11"/>
        <v>-1248.9721199999999</v>
      </c>
      <c r="M23" s="51">
        <f t="shared" si="11"/>
        <v>-6764.7426400000004</v>
      </c>
      <c r="N23" s="51">
        <f t="shared" si="11"/>
        <v>-7389.2189600000002</v>
      </c>
      <c r="O23" s="51">
        <f t="shared" si="11"/>
        <v>-6556.1304799999998</v>
      </c>
      <c r="P23" s="52">
        <f t="shared" si="11"/>
        <v>-47574.297839999999</v>
      </c>
      <c r="Q23" s="51">
        <f t="shared" si="11"/>
        <v>-2186.11832</v>
      </c>
      <c r="R23" s="51">
        <f t="shared" si="11"/>
        <v>-8722.9057599999996</v>
      </c>
      <c r="S23" s="51">
        <f t="shared" si="11"/>
        <v>-1925.93896</v>
      </c>
      <c r="T23" s="51">
        <f t="shared" si="11"/>
        <v>-7470.5508</v>
      </c>
      <c r="U23" s="51">
        <f t="shared" si="11"/>
        <v>-6483.9383200000002</v>
      </c>
      <c r="V23" s="51">
        <f t="shared" si="11"/>
        <v>-1930.87004</v>
      </c>
      <c r="W23" s="51">
        <f t="shared" si="11"/>
        <v>-3569.6218800000001</v>
      </c>
      <c r="X23" s="51">
        <f t="shared" si="11"/>
        <v>-6480.0271599999996</v>
      </c>
      <c r="Y23" s="51">
        <f t="shared" si="11"/>
        <v>-934.08744000000002</v>
      </c>
      <c r="Z23" s="51">
        <f t="shared" si="11"/>
        <v>-7660.7893999999997</v>
      </c>
      <c r="AA23" s="51">
        <f t="shared" si="11"/>
        <v>-1790.8607999999999</v>
      </c>
      <c r="AB23" s="51">
        <f t="shared" si="11"/>
        <v>-6135.5168400000002</v>
      </c>
      <c r="AC23" s="52">
        <f t="shared" si="11"/>
        <v>-55291.225720000002</v>
      </c>
      <c r="AD23" s="51">
        <f t="shared" si="11"/>
        <v>-8175.58788</v>
      </c>
      <c r="AE23" s="51">
        <f t="shared" si="11"/>
        <v>-466.33927999999997</v>
      </c>
      <c r="AF23" s="51">
        <f t="shared" si="11"/>
        <v>-2973.5293999999999</v>
      </c>
      <c r="AG23" s="51">
        <f t="shared" si="11"/>
        <v>-8106.1789600000002</v>
      </c>
      <c r="AH23" s="51">
        <f t="shared" si="11"/>
        <v>-5137.4703600000003</v>
      </c>
      <c r="AI23" s="51">
        <f t="shared" si="11"/>
        <v>-2498.6486799999998</v>
      </c>
      <c r="AJ23" s="51">
        <f t="shared" ref="AJ23:BO23" si="12">SUM(AJ17:AJ22)*-1</f>
        <v>-2208.6407599999998</v>
      </c>
      <c r="AK23" s="51">
        <f t="shared" si="12"/>
        <v>-4859.4622799999997</v>
      </c>
      <c r="AL23" s="51">
        <f t="shared" si="12"/>
        <v>-2204.5541199999998</v>
      </c>
      <c r="AM23" s="51">
        <f t="shared" si="12"/>
        <v>-6395.3635199999999</v>
      </c>
      <c r="AN23" s="51">
        <f t="shared" si="12"/>
        <v>-3332.0012000000002</v>
      </c>
      <c r="AO23" s="51">
        <f t="shared" si="12"/>
        <v>-14317.0926</v>
      </c>
      <c r="AP23" s="52">
        <f t="shared" si="12"/>
        <v>-60674.86903999999</v>
      </c>
      <c r="AQ23" s="51">
        <f t="shared" si="12"/>
        <v>0</v>
      </c>
      <c r="AR23" s="51">
        <f t="shared" si="12"/>
        <v>0</v>
      </c>
      <c r="AS23" s="51">
        <f t="shared" si="12"/>
        <v>0</v>
      </c>
      <c r="AT23" s="51">
        <f t="shared" si="12"/>
        <v>0</v>
      </c>
      <c r="AU23" s="51">
        <f t="shared" si="12"/>
        <v>0</v>
      </c>
      <c r="AV23" s="51">
        <f t="shared" si="12"/>
        <v>0</v>
      </c>
      <c r="AW23" s="51">
        <f t="shared" si="12"/>
        <v>0</v>
      </c>
      <c r="AX23" s="51">
        <f t="shared" si="12"/>
        <v>0</v>
      </c>
      <c r="AY23" s="51">
        <f t="shared" si="12"/>
        <v>0</v>
      </c>
      <c r="AZ23" s="51">
        <f t="shared" si="12"/>
        <v>0</v>
      </c>
      <c r="BA23" s="51">
        <f t="shared" si="12"/>
        <v>0</v>
      </c>
      <c r="BB23" s="51">
        <f t="shared" si="12"/>
        <v>0</v>
      </c>
      <c r="BC23" s="52">
        <f t="shared" si="12"/>
        <v>0</v>
      </c>
      <c r="BD23" s="51">
        <f t="shared" si="12"/>
        <v>0</v>
      </c>
      <c r="BE23" s="51">
        <f t="shared" si="12"/>
        <v>0</v>
      </c>
      <c r="BF23" s="51">
        <f t="shared" si="12"/>
        <v>0</v>
      </c>
      <c r="BG23" s="51">
        <f t="shared" si="12"/>
        <v>0</v>
      </c>
      <c r="BH23" s="51">
        <f t="shared" si="12"/>
        <v>0</v>
      </c>
      <c r="BI23" s="51">
        <f t="shared" si="12"/>
        <v>0</v>
      </c>
      <c r="BJ23" s="51">
        <f t="shared" si="12"/>
        <v>0</v>
      </c>
      <c r="BK23" s="51">
        <f t="shared" si="12"/>
        <v>0</v>
      </c>
      <c r="BL23" s="51">
        <f t="shared" si="12"/>
        <v>0</v>
      </c>
      <c r="BM23" s="51">
        <f t="shared" si="12"/>
        <v>0</v>
      </c>
      <c r="BN23" s="51">
        <f t="shared" si="12"/>
        <v>0</v>
      </c>
      <c r="BO23" s="51">
        <f t="shared" si="12"/>
        <v>0</v>
      </c>
      <c r="BP23" s="52">
        <f t="shared" ref="BP23:CU23" si="13">SUM(BP17:BP22)*-1</f>
        <v>0</v>
      </c>
    </row>
    <row r="25" spans="1:68" s="8" customFormat="1" x14ac:dyDescent="0.25">
      <c r="A25" s="38" t="s">
        <v>53</v>
      </c>
      <c r="B25" s="39"/>
      <c r="C25" s="38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1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1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1"/>
      <c r="AQ25" s="42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1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1"/>
    </row>
    <row r="26" spans="1:68" x14ac:dyDescent="0.25">
      <c r="A26" t="s">
        <v>54</v>
      </c>
      <c r="B26" s="2" t="s">
        <v>55</v>
      </c>
      <c r="D26" s="3">
        <v>0</v>
      </c>
      <c r="E26" s="3">
        <v>231.6</v>
      </c>
      <c r="F26" s="3">
        <v>228</v>
      </c>
      <c r="G26" s="3">
        <v>224.2</v>
      </c>
      <c r="H26" s="3">
        <v>223.8</v>
      </c>
      <c r="I26" s="3">
        <v>245.2</v>
      </c>
      <c r="J26" s="3">
        <v>241.4</v>
      </c>
      <c r="K26" s="3">
        <v>234.4</v>
      </c>
      <c r="L26" s="3">
        <v>255.8</v>
      </c>
      <c r="M26" s="3">
        <v>252.2</v>
      </c>
      <c r="N26" s="3">
        <v>241.8</v>
      </c>
      <c r="O26" s="3">
        <v>237.8</v>
      </c>
      <c r="P26" s="4">
        <f>SUM(D26:O26)</f>
        <v>2616.2000000000003</v>
      </c>
      <c r="Q26" s="3">
        <v>233</v>
      </c>
      <c r="R26" s="3">
        <v>247.6</v>
      </c>
      <c r="S26" s="3">
        <v>251.6</v>
      </c>
      <c r="T26" s="3">
        <v>236.6</v>
      </c>
      <c r="U26" s="3">
        <v>238.6</v>
      </c>
      <c r="V26" s="3">
        <v>227.2</v>
      </c>
      <c r="W26" s="3">
        <v>242.2</v>
      </c>
      <c r="X26" s="3">
        <v>247</v>
      </c>
      <c r="Y26" s="3">
        <v>239.4</v>
      </c>
      <c r="Z26" s="3">
        <v>235.4</v>
      </c>
      <c r="AA26" s="3">
        <v>230.6</v>
      </c>
      <c r="AB26" s="3">
        <v>220.2</v>
      </c>
      <c r="AC26" s="4">
        <f>SUM(Q26:AB26)</f>
        <v>2849.4</v>
      </c>
      <c r="AD26" s="3">
        <v>224.2</v>
      </c>
      <c r="AE26" s="3">
        <v>234.2</v>
      </c>
      <c r="AF26" s="3">
        <v>236.2</v>
      </c>
      <c r="AG26" s="3">
        <v>254.6</v>
      </c>
      <c r="AH26" s="3">
        <v>244.6</v>
      </c>
      <c r="AI26" s="3">
        <v>249.4</v>
      </c>
      <c r="AJ26" s="3">
        <v>257</v>
      </c>
      <c r="AK26" s="3">
        <v>253</v>
      </c>
      <c r="AL26" s="3">
        <v>248.2</v>
      </c>
      <c r="AM26" s="3">
        <v>237.8</v>
      </c>
      <c r="AN26" s="3">
        <v>241.8</v>
      </c>
      <c r="AO26" s="3">
        <v>251.8</v>
      </c>
      <c r="AP26" s="4">
        <f>SUM(AD26:AO26)</f>
        <v>2932.8000000000006</v>
      </c>
      <c r="AQ26" s="5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4">
        <f>SUM(AQ26:BB26)</f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4">
        <f>SUM(BD26:BO26)</f>
        <v>0</v>
      </c>
    </row>
    <row r="27" spans="1:68" x14ac:dyDescent="0.25">
      <c r="A27" t="s">
        <v>56</v>
      </c>
      <c r="B27" s="2" t="s">
        <v>57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>SUM(D27:O27)</f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4">
        <f>SUM(Q27:AB27)</f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4">
        <f>SUM(AD27:AO27)</f>
        <v>0</v>
      </c>
      <c r="AQ27" s="5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4">
        <f>SUM(AQ27:BB27)</f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4">
        <f>SUM(BD27:BO27)</f>
        <v>0</v>
      </c>
    </row>
    <row r="28" spans="1:68" x14ac:dyDescent="0.25">
      <c r="A28" t="s">
        <v>58</v>
      </c>
      <c r="B28" s="2" t="s">
        <v>59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>SUM(D28:O28)</f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4">
        <f>SUM(Q28:AB28)</f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4">
        <f>SUM(AD28:AO28)</f>
        <v>0</v>
      </c>
      <c r="AQ28" s="5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4">
        <f>SUM(AQ28:BB28)</f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4">
        <f>SUM(BD28:BO28)</f>
        <v>0</v>
      </c>
    </row>
    <row r="29" spans="1:68" x14ac:dyDescent="0.25">
      <c r="A29" t="s">
        <v>60</v>
      </c>
      <c r="B29" s="2" t="s">
        <v>53</v>
      </c>
      <c r="D29" s="3">
        <v>0</v>
      </c>
      <c r="E29" s="3">
        <v>2316</v>
      </c>
      <c r="F29" s="3">
        <v>2280</v>
      </c>
      <c r="G29" s="3">
        <v>2242</v>
      </c>
      <c r="H29" s="3">
        <v>2238</v>
      </c>
      <c r="I29" s="3">
        <v>2452</v>
      </c>
      <c r="J29" s="3">
        <v>2414</v>
      </c>
      <c r="K29" s="3">
        <v>2344</v>
      </c>
      <c r="L29" s="3">
        <v>2558</v>
      </c>
      <c r="M29" s="3">
        <v>2522</v>
      </c>
      <c r="N29" s="3">
        <v>2418</v>
      </c>
      <c r="O29" s="3">
        <v>2378</v>
      </c>
      <c r="P29" s="4">
        <f>SUM(D29:O29)</f>
        <v>26162</v>
      </c>
      <c r="Q29" s="3">
        <v>2330</v>
      </c>
      <c r="R29" s="3">
        <v>2476</v>
      </c>
      <c r="S29" s="3">
        <v>2516</v>
      </c>
      <c r="T29" s="3">
        <v>2366</v>
      </c>
      <c r="U29" s="3">
        <v>2386</v>
      </c>
      <c r="V29" s="3">
        <v>2272</v>
      </c>
      <c r="W29" s="3">
        <v>2422</v>
      </c>
      <c r="X29" s="3">
        <v>2470</v>
      </c>
      <c r="Y29" s="3">
        <v>2394</v>
      </c>
      <c r="Z29" s="3">
        <v>2354</v>
      </c>
      <c r="AA29" s="3">
        <v>2306</v>
      </c>
      <c r="AB29" s="3">
        <v>2202</v>
      </c>
      <c r="AC29" s="4">
        <f>SUM(Q29:AB29)</f>
        <v>28494</v>
      </c>
      <c r="AD29" s="3">
        <v>2242</v>
      </c>
      <c r="AE29" s="3">
        <v>2342</v>
      </c>
      <c r="AF29" s="3">
        <v>2362</v>
      </c>
      <c r="AG29" s="3">
        <v>2546</v>
      </c>
      <c r="AH29" s="3">
        <v>2446</v>
      </c>
      <c r="AI29" s="3">
        <v>2494</v>
      </c>
      <c r="AJ29" s="3">
        <v>2570</v>
      </c>
      <c r="AK29" s="3">
        <v>2530</v>
      </c>
      <c r="AL29" s="3">
        <v>2482</v>
      </c>
      <c r="AM29" s="3">
        <v>2378</v>
      </c>
      <c r="AN29" s="3">
        <v>2418</v>
      </c>
      <c r="AO29" s="3">
        <v>2518</v>
      </c>
      <c r="AP29" s="4">
        <f>SUM(AD29:AO29)</f>
        <v>29328</v>
      </c>
      <c r="AQ29" s="5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4">
        <f>SUM(AQ29:BB29)</f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4">
        <f>SUM(BD29:BO29)</f>
        <v>0</v>
      </c>
    </row>
    <row r="30" spans="1:68" s="10" customFormat="1" x14ac:dyDescent="0.25">
      <c r="A30" s="48" t="s">
        <v>20</v>
      </c>
      <c r="B30" s="49"/>
      <c r="C30" s="50" t="s">
        <v>61</v>
      </c>
      <c r="D30" s="51">
        <f t="shared" ref="D30:AI30" si="14">SUM(D26:D29)*-1</f>
        <v>0</v>
      </c>
      <c r="E30" s="51">
        <f t="shared" si="14"/>
        <v>-2547.6</v>
      </c>
      <c r="F30" s="51">
        <f t="shared" si="14"/>
        <v>-2508</v>
      </c>
      <c r="G30" s="51">
        <f t="shared" si="14"/>
        <v>-2466.1999999999998</v>
      </c>
      <c r="H30" s="51">
        <f t="shared" si="14"/>
        <v>-2461.8000000000002</v>
      </c>
      <c r="I30" s="51">
        <f t="shared" si="14"/>
        <v>-2697.2</v>
      </c>
      <c r="J30" s="51">
        <f t="shared" si="14"/>
        <v>-2655.4</v>
      </c>
      <c r="K30" s="51">
        <f t="shared" si="14"/>
        <v>-2578.4</v>
      </c>
      <c r="L30" s="51">
        <f t="shared" si="14"/>
        <v>-2813.8</v>
      </c>
      <c r="M30" s="51">
        <f t="shared" si="14"/>
        <v>-2774.2</v>
      </c>
      <c r="N30" s="51">
        <f t="shared" si="14"/>
        <v>-2659.8</v>
      </c>
      <c r="O30" s="51">
        <f t="shared" si="14"/>
        <v>-2615.8000000000002</v>
      </c>
      <c r="P30" s="52">
        <f t="shared" si="14"/>
        <v>-28778.2</v>
      </c>
      <c r="Q30" s="51">
        <f t="shared" si="14"/>
        <v>-2563</v>
      </c>
      <c r="R30" s="51">
        <f t="shared" si="14"/>
        <v>-2723.6</v>
      </c>
      <c r="S30" s="51">
        <f t="shared" si="14"/>
        <v>-2767.6</v>
      </c>
      <c r="T30" s="51">
        <f t="shared" si="14"/>
        <v>-2602.6</v>
      </c>
      <c r="U30" s="51">
        <f t="shared" si="14"/>
        <v>-2624.6</v>
      </c>
      <c r="V30" s="51">
        <f t="shared" si="14"/>
        <v>-2499.1999999999998</v>
      </c>
      <c r="W30" s="51">
        <f t="shared" si="14"/>
        <v>-2664.2</v>
      </c>
      <c r="X30" s="51">
        <f t="shared" si="14"/>
        <v>-2717</v>
      </c>
      <c r="Y30" s="51">
        <f t="shared" si="14"/>
        <v>-2633.4</v>
      </c>
      <c r="Z30" s="51">
        <f t="shared" si="14"/>
        <v>-2589.4</v>
      </c>
      <c r="AA30" s="51">
        <f t="shared" si="14"/>
        <v>-2536.6</v>
      </c>
      <c r="AB30" s="51">
        <f t="shared" si="14"/>
        <v>-2422.1999999999998</v>
      </c>
      <c r="AC30" s="52">
        <f t="shared" si="14"/>
        <v>-31343.4</v>
      </c>
      <c r="AD30" s="51">
        <f t="shared" si="14"/>
        <v>-2466.1999999999998</v>
      </c>
      <c r="AE30" s="51">
        <f t="shared" si="14"/>
        <v>-2576.1999999999998</v>
      </c>
      <c r="AF30" s="51">
        <f t="shared" si="14"/>
        <v>-2598.1999999999998</v>
      </c>
      <c r="AG30" s="51">
        <f t="shared" si="14"/>
        <v>-2800.6</v>
      </c>
      <c r="AH30" s="51">
        <f t="shared" si="14"/>
        <v>-2690.6</v>
      </c>
      <c r="AI30" s="51">
        <f t="shared" si="14"/>
        <v>-2743.4</v>
      </c>
      <c r="AJ30" s="51">
        <f t="shared" ref="AJ30:BO30" si="15">SUM(AJ26:AJ29)*-1</f>
        <v>-2827</v>
      </c>
      <c r="AK30" s="51">
        <f t="shared" si="15"/>
        <v>-2783</v>
      </c>
      <c r="AL30" s="51">
        <f t="shared" si="15"/>
        <v>-2730.2</v>
      </c>
      <c r="AM30" s="51">
        <f t="shared" si="15"/>
        <v>-2615.8000000000002</v>
      </c>
      <c r="AN30" s="51">
        <f t="shared" si="15"/>
        <v>-2659.8</v>
      </c>
      <c r="AO30" s="51">
        <f t="shared" si="15"/>
        <v>-2769.8</v>
      </c>
      <c r="AP30" s="52">
        <f t="shared" si="15"/>
        <v>-32260.799999999999</v>
      </c>
      <c r="AQ30" s="51">
        <f t="shared" si="15"/>
        <v>0</v>
      </c>
      <c r="AR30" s="51">
        <f t="shared" si="15"/>
        <v>0</v>
      </c>
      <c r="AS30" s="51">
        <f t="shared" si="15"/>
        <v>0</v>
      </c>
      <c r="AT30" s="51">
        <f t="shared" si="15"/>
        <v>0</v>
      </c>
      <c r="AU30" s="51">
        <f t="shared" si="15"/>
        <v>0</v>
      </c>
      <c r="AV30" s="51">
        <f t="shared" si="15"/>
        <v>0</v>
      </c>
      <c r="AW30" s="51">
        <f t="shared" si="15"/>
        <v>0</v>
      </c>
      <c r="AX30" s="51">
        <f t="shared" si="15"/>
        <v>0</v>
      </c>
      <c r="AY30" s="51">
        <f t="shared" si="15"/>
        <v>0</v>
      </c>
      <c r="AZ30" s="51">
        <f t="shared" si="15"/>
        <v>0</v>
      </c>
      <c r="BA30" s="51">
        <f t="shared" si="15"/>
        <v>0</v>
      </c>
      <c r="BB30" s="51">
        <f t="shared" si="15"/>
        <v>0</v>
      </c>
      <c r="BC30" s="52">
        <f t="shared" si="15"/>
        <v>0</v>
      </c>
      <c r="BD30" s="51">
        <f t="shared" si="15"/>
        <v>0</v>
      </c>
      <c r="BE30" s="51">
        <f t="shared" si="15"/>
        <v>0</v>
      </c>
      <c r="BF30" s="51">
        <f t="shared" si="15"/>
        <v>0</v>
      </c>
      <c r="BG30" s="51">
        <f t="shared" si="15"/>
        <v>0</v>
      </c>
      <c r="BH30" s="51">
        <f t="shared" si="15"/>
        <v>0</v>
      </c>
      <c r="BI30" s="51">
        <f t="shared" si="15"/>
        <v>0</v>
      </c>
      <c r="BJ30" s="51">
        <f t="shared" si="15"/>
        <v>0</v>
      </c>
      <c r="BK30" s="51">
        <f t="shared" si="15"/>
        <v>0</v>
      </c>
      <c r="BL30" s="51">
        <f t="shared" si="15"/>
        <v>0</v>
      </c>
      <c r="BM30" s="51">
        <f t="shared" si="15"/>
        <v>0</v>
      </c>
      <c r="BN30" s="51">
        <f t="shared" si="15"/>
        <v>0</v>
      </c>
      <c r="BO30" s="51">
        <f t="shared" si="15"/>
        <v>0</v>
      </c>
      <c r="BP30" s="52">
        <f t="shared" ref="BP30:CU30" si="16">SUM(BP26:BP29)*-1</f>
        <v>0</v>
      </c>
    </row>
    <row r="32" spans="1:68" s="8" customFormat="1" x14ac:dyDescent="0.25">
      <c r="A32" s="38" t="s">
        <v>62</v>
      </c>
      <c r="B32" s="39"/>
      <c r="C32" s="38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1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1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1"/>
      <c r="AQ32" s="42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1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1"/>
    </row>
    <row r="33" spans="1:68" x14ac:dyDescent="0.25">
      <c r="A33" t="s">
        <v>63</v>
      </c>
      <c r="B33" s="2" t="s">
        <v>62</v>
      </c>
      <c r="D33" s="3">
        <v>0</v>
      </c>
      <c r="E33" s="3">
        <v>137.5</v>
      </c>
      <c r="F33" s="3">
        <v>64.17</v>
      </c>
      <c r="G33" s="3">
        <v>703.34</v>
      </c>
      <c r="H33" s="3">
        <v>134.16999999999999</v>
      </c>
      <c r="I33" s="3">
        <v>60.83</v>
      </c>
      <c r="J33" s="3">
        <v>293.33</v>
      </c>
      <c r="K33" s="3">
        <v>142.5</v>
      </c>
      <c r="L33" s="3">
        <v>99.17</v>
      </c>
      <c r="M33" s="3">
        <v>630</v>
      </c>
      <c r="N33" s="3">
        <v>104.17</v>
      </c>
      <c r="O33" s="3">
        <v>132.5</v>
      </c>
      <c r="P33" s="4">
        <f t="shared" ref="P33:P40" si="17">SUM(D33:O33)</f>
        <v>2501.6800000000003</v>
      </c>
      <c r="Q33" s="3">
        <v>910.84</v>
      </c>
      <c r="R33" s="3">
        <v>55</v>
      </c>
      <c r="S33" s="3">
        <v>60</v>
      </c>
      <c r="T33" s="3">
        <v>790.84</v>
      </c>
      <c r="U33" s="3">
        <v>89.17</v>
      </c>
      <c r="V33" s="3">
        <v>130</v>
      </c>
      <c r="W33" s="3">
        <v>402.5</v>
      </c>
      <c r="X33" s="3">
        <v>160</v>
      </c>
      <c r="Y33" s="3">
        <v>99.17</v>
      </c>
      <c r="Z33" s="3">
        <v>665.83</v>
      </c>
      <c r="AA33" s="3">
        <v>59.17</v>
      </c>
      <c r="AB33" s="3">
        <v>155</v>
      </c>
      <c r="AC33" s="4">
        <f t="shared" ref="AC33:AC40" si="18">SUM(Q33:AB33)</f>
        <v>3577.5200000000004</v>
      </c>
      <c r="AD33" s="3">
        <v>785.83</v>
      </c>
      <c r="AE33" s="3">
        <v>131.66999999999999</v>
      </c>
      <c r="AF33" s="3">
        <v>120.83</v>
      </c>
      <c r="AG33" s="3">
        <v>549.16</v>
      </c>
      <c r="AH33" s="3">
        <v>61.67</v>
      </c>
      <c r="AI33" s="3">
        <v>50</v>
      </c>
      <c r="AJ33" s="3">
        <v>589.16</v>
      </c>
      <c r="AK33" s="3">
        <v>120</v>
      </c>
      <c r="AL33" s="3">
        <v>135</v>
      </c>
      <c r="AM33" s="3">
        <v>579.16999999999996</v>
      </c>
      <c r="AN33" s="3">
        <v>90.83</v>
      </c>
      <c r="AO33" s="3">
        <v>52.5</v>
      </c>
      <c r="AP33" s="4">
        <f t="shared" ref="AP33:AP40" si="19">SUM(AD33:AO33)</f>
        <v>3265.8199999999997</v>
      </c>
      <c r="AQ33" s="5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4">
        <f t="shared" ref="BC33:BC40" si="20">SUM(AQ33:BB33)</f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4">
        <f t="shared" ref="BP33:BP40" si="21">SUM(BD33:BO33)</f>
        <v>0</v>
      </c>
    </row>
    <row r="34" spans="1:68" x14ac:dyDescent="0.25">
      <c r="A34" t="s">
        <v>64</v>
      </c>
      <c r="B34" s="2" t="s">
        <v>65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17"/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4">
        <f t="shared" si="18"/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4">
        <f t="shared" si="19"/>
        <v>0</v>
      </c>
      <c r="AQ34" s="5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4">
        <f t="shared" si="20"/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4">
        <f t="shared" si="21"/>
        <v>0</v>
      </c>
    </row>
    <row r="35" spans="1:68" x14ac:dyDescent="0.25">
      <c r="A35" t="s">
        <v>66</v>
      </c>
      <c r="B35" s="2" t="s">
        <v>67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17"/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4">
        <f t="shared" si="18"/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4">
        <f t="shared" si="19"/>
        <v>0</v>
      </c>
      <c r="AQ35" s="5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4">
        <f t="shared" si="20"/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4">
        <f t="shared" si="21"/>
        <v>0</v>
      </c>
    </row>
    <row r="36" spans="1:68" x14ac:dyDescent="0.25">
      <c r="A36" t="s">
        <v>68</v>
      </c>
      <c r="B36" s="2" t="s">
        <v>69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4">
        <f t="shared" si="17"/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4">
        <f t="shared" si="18"/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4">
        <f t="shared" si="19"/>
        <v>0</v>
      </c>
      <c r="AQ36" s="5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4">
        <f t="shared" si="20"/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4">
        <f t="shared" si="21"/>
        <v>0</v>
      </c>
    </row>
    <row r="37" spans="1:68" x14ac:dyDescent="0.25">
      <c r="A37" t="s">
        <v>70</v>
      </c>
      <c r="B37" s="2" t="s">
        <v>71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17"/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4">
        <f t="shared" si="18"/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4">
        <f t="shared" si="19"/>
        <v>0</v>
      </c>
      <c r="AQ37" s="5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4">
        <f t="shared" si="20"/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4">
        <f t="shared" si="21"/>
        <v>0</v>
      </c>
    </row>
    <row r="38" spans="1:68" x14ac:dyDescent="0.25">
      <c r="A38" t="s">
        <v>72</v>
      </c>
      <c r="B38" s="2" t="s">
        <v>73</v>
      </c>
      <c r="D38" s="3">
        <v>0</v>
      </c>
      <c r="E38" s="3">
        <v>0</v>
      </c>
      <c r="F38" s="3">
        <v>171</v>
      </c>
      <c r="G38" s="3">
        <v>0</v>
      </c>
      <c r="H38" s="3">
        <v>0</v>
      </c>
      <c r="I38" s="3">
        <v>0</v>
      </c>
      <c r="J38" s="3">
        <v>117</v>
      </c>
      <c r="K38" s="3">
        <v>0</v>
      </c>
      <c r="L38" s="3">
        <v>0</v>
      </c>
      <c r="M38" s="3">
        <v>0</v>
      </c>
      <c r="N38" s="3">
        <v>46</v>
      </c>
      <c r="O38" s="3">
        <v>0</v>
      </c>
      <c r="P38" s="4">
        <f t="shared" si="17"/>
        <v>334</v>
      </c>
      <c r="Q38" s="3">
        <v>0</v>
      </c>
      <c r="R38" s="3">
        <v>0</v>
      </c>
      <c r="S38" s="3">
        <v>102</v>
      </c>
      <c r="T38" s="3">
        <v>0</v>
      </c>
      <c r="U38" s="3">
        <v>0</v>
      </c>
      <c r="V38" s="3">
        <v>0</v>
      </c>
      <c r="W38" s="3">
        <v>198</v>
      </c>
      <c r="X38" s="3">
        <v>0</v>
      </c>
      <c r="Y38" s="3">
        <v>0</v>
      </c>
      <c r="Z38" s="3">
        <v>0</v>
      </c>
      <c r="AA38" s="3">
        <v>156</v>
      </c>
      <c r="AB38" s="3">
        <v>0</v>
      </c>
      <c r="AC38" s="4">
        <f t="shared" si="18"/>
        <v>456</v>
      </c>
      <c r="AD38" s="3">
        <v>0</v>
      </c>
      <c r="AE38" s="3">
        <v>0</v>
      </c>
      <c r="AF38" s="3">
        <v>51</v>
      </c>
      <c r="AG38" s="3">
        <v>0</v>
      </c>
      <c r="AH38" s="3">
        <v>0</v>
      </c>
      <c r="AI38" s="3">
        <v>0</v>
      </c>
      <c r="AJ38" s="3">
        <v>54</v>
      </c>
      <c r="AK38" s="3">
        <v>0</v>
      </c>
      <c r="AL38" s="3">
        <v>0</v>
      </c>
      <c r="AM38" s="3">
        <v>0</v>
      </c>
      <c r="AN38" s="3">
        <v>110</v>
      </c>
      <c r="AO38" s="3">
        <v>0</v>
      </c>
      <c r="AP38" s="4">
        <f t="shared" si="19"/>
        <v>215</v>
      </c>
      <c r="AQ38" s="5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4">
        <f t="shared" si="20"/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4">
        <f t="shared" si="21"/>
        <v>0</v>
      </c>
    </row>
    <row r="39" spans="1:68" x14ac:dyDescent="0.25">
      <c r="A39" t="s">
        <v>74</v>
      </c>
      <c r="B39" s="2" t="s">
        <v>75</v>
      </c>
      <c r="D39" s="3">
        <v>0</v>
      </c>
      <c r="E39" s="3">
        <v>185</v>
      </c>
      <c r="F39" s="3">
        <v>0</v>
      </c>
      <c r="G39" s="3">
        <v>0</v>
      </c>
      <c r="H39" s="3">
        <v>0</v>
      </c>
      <c r="I39" s="3">
        <v>132</v>
      </c>
      <c r="J39" s="3">
        <v>0</v>
      </c>
      <c r="K39" s="3">
        <v>0</v>
      </c>
      <c r="L39" s="3">
        <v>0</v>
      </c>
      <c r="M39" s="3">
        <v>127</v>
      </c>
      <c r="N39" s="3">
        <v>0</v>
      </c>
      <c r="O39" s="3">
        <v>0</v>
      </c>
      <c r="P39" s="4">
        <f t="shared" si="17"/>
        <v>444</v>
      </c>
      <c r="Q39" s="3">
        <v>0</v>
      </c>
      <c r="R39" s="3">
        <v>72</v>
      </c>
      <c r="S39" s="3">
        <v>0</v>
      </c>
      <c r="T39" s="3">
        <v>0</v>
      </c>
      <c r="U39" s="3">
        <v>0</v>
      </c>
      <c r="V39" s="3">
        <v>148</v>
      </c>
      <c r="W39" s="3">
        <v>0</v>
      </c>
      <c r="X39" s="3">
        <v>0</v>
      </c>
      <c r="Y39" s="3">
        <v>0</v>
      </c>
      <c r="Z39" s="3">
        <v>107</v>
      </c>
      <c r="AA39" s="3">
        <v>0</v>
      </c>
      <c r="AB39" s="3">
        <v>0</v>
      </c>
      <c r="AC39" s="4">
        <f t="shared" si="18"/>
        <v>327</v>
      </c>
      <c r="AD39" s="3">
        <v>0</v>
      </c>
      <c r="AE39" s="3">
        <v>143</v>
      </c>
      <c r="AF39" s="3">
        <v>0</v>
      </c>
      <c r="AG39" s="3">
        <v>0</v>
      </c>
      <c r="AH39" s="3">
        <v>0</v>
      </c>
      <c r="AI39" s="3">
        <v>58</v>
      </c>
      <c r="AJ39" s="3">
        <v>0</v>
      </c>
      <c r="AK39" s="3">
        <v>0</v>
      </c>
      <c r="AL39" s="3">
        <v>0</v>
      </c>
      <c r="AM39" s="3">
        <v>80</v>
      </c>
      <c r="AN39" s="3">
        <v>0</v>
      </c>
      <c r="AO39" s="3">
        <v>0</v>
      </c>
      <c r="AP39" s="4">
        <f t="shared" si="19"/>
        <v>281</v>
      </c>
      <c r="AQ39" s="5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4">
        <f t="shared" si="20"/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4">
        <f t="shared" si="21"/>
        <v>0</v>
      </c>
    </row>
    <row r="40" spans="1:68" x14ac:dyDescent="0.25">
      <c r="A40" t="s">
        <v>76</v>
      </c>
      <c r="B40" s="2" t="s">
        <v>77</v>
      </c>
      <c r="D40" s="3">
        <v>0</v>
      </c>
      <c r="E40" s="3">
        <v>0</v>
      </c>
      <c r="F40" s="3">
        <v>0</v>
      </c>
      <c r="G40" s="3">
        <v>0</v>
      </c>
      <c r="H40" s="3">
        <v>146</v>
      </c>
      <c r="I40" s="3">
        <v>0</v>
      </c>
      <c r="J40" s="3">
        <v>0</v>
      </c>
      <c r="K40" s="3">
        <v>0</v>
      </c>
      <c r="L40" s="3">
        <v>141</v>
      </c>
      <c r="M40" s="3">
        <v>0</v>
      </c>
      <c r="N40" s="3">
        <v>0</v>
      </c>
      <c r="O40" s="3">
        <v>0</v>
      </c>
      <c r="P40" s="4">
        <f t="shared" si="17"/>
        <v>287</v>
      </c>
      <c r="Q40" s="3">
        <v>65</v>
      </c>
      <c r="R40" s="3">
        <v>0</v>
      </c>
      <c r="S40" s="3">
        <v>0</v>
      </c>
      <c r="T40" s="3">
        <v>0</v>
      </c>
      <c r="U40" s="3">
        <v>135</v>
      </c>
      <c r="V40" s="3">
        <v>0</v>
      </c>
      <c r="W40" s="3">
        <v>0</v>
      </c>
      <c r="X40" s="3">
        <v>0</v>
      </c>
      <c r="Y40" s="3">
        <v>137</v>
      </c>
      <c r="Z40" s="3">
        <v>0</v>
      </c>
      <c r="AA40" s="3">
        <v>0</v>
      </c>
      <c r="AB40" s="3">
        <v>0</v>
      </c>
      <c r="AC40" s="4">
        <f t="shared" si="18"/>
        <v>337</v>
      </c>
      <c r="AD40" s="3">
        <v>193</v>
      </c>
      <c r="AE40" s="3">
        <v>0</v>
      </c>
      <c r="AF40" s="3">
        <v>0</v>
      </c>
      <c r="AG40" s="3">
        <v>0</v>
      </c>
      <c r="AH40" s="3">
        <v>107</v>
      </c>
      <c r="AI40" s="3">
        <v>0</v>
      </c>
      <c r="AJ40" s="3">
        <v>0</v>
      </c>
      <c r="AK40" s="3">
        <v>0</v>
      </c>
      <c r="AL40" s="3">
        <v>73</v>
      </c>
      <c r="AM40" s="3">
        <v>0</v>
      </c>
      <c r="AN40" s="3">
        <v>0</v>
      </c>
      <c r="AO40" s="3">
        <v>0</v>
      </c>
      <c r="AP40" s="4">
        <f t="shared" si="19"/>
        <v>373</v>
      </c>
      <c r="AQ40" s="5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4">
        <f t="shared" si="20"/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4">
        <f t="shared" si="21"/>
        <v>0</v>
      </c>
    </row>
    <row r="41" spans="1:68" s="10" customFormat="1" x14ac:dyDescent="0.25">
      <c r="A41" s="48" t="s">
        <v>20</v>
      </c>
      <c r="B41" s="49"/>
      <c r="C41" s="50" t="s">
        <v>78</v>
      </c>
      <c r="D41" s="51">
        <f t="shared" ref="D41:AI41" si="22">SUM(D33:D40)*-1</f>
        <v>0</v>
      </c>
      <c r="E41" s="51">
        <f t="shared" si="22"/>
        <v>-322.5</v>
      </c>
      <c r="F41" s="51">
        <f t="shared" si="22"/>
        <v>-235.17000000000002</v>
      </c>
      <c r="G41" s="51">
        <f t="shared" si="22"/>
        <v>-703.34</v>
      </c>
      <c r="H41" s="51">
        <f t="shared" si="22"/>
        <v>-280.16999999999996</v>
      </c>
      <c r="I41" s="51">
        <f t="shared" si="22"/>
        <v>-192.82999999999998</v>
      </c>
      <c r="J41" s="51">
        <f t="shared" si="22"/>
        <v>-410.33</v>
      </c>
      <c r="K41" s="51">
        <f t="shared" si="22"/>
        <v>-142.5</v>
      </c>
      <c r="L41" s="51">
        <f t="shared" si="22"/>
        <v>-240.17000000000002</v>
      </c>
      <c r="M41" s="51">
        <f t="shared" si="22"/>
        <v>-757</v>
      </c>
      <c r="N41" s="51">
        <f t="shared" si="22"/>
        <v>-150.17000000000002</v>
      </c>
      <c r="O41" s="51">
        <f t="shared" si="22"/>
        <v>-132.5</v>
      </c>
      <c r="P41" s="52">
        <f t="shared" si="22"/>
        <v>-3566.6800000000003</v>
      </c>
      <c r="Q41" s="51">
        <f t="shared" si="22"/>
        <v>-975.84</v>
      </c>
      <c r="R41" s="51">
        <f t="shared" si="22"/>
        <v>-127</v>
      </c>
      <c r="S41" s="51">
        <f t="shared" si="22"/>
        <v>-162</v>
      </c>
      <c r="T41" s="51">
        <f t="shared" si="22"/>
        <v>-790.84</v>
      </c>
      <c r="U41" s="51">
        <f t="shared" si="22"/>
        <v>-224.17000000000002</v>
      </c>
      <c r="V41" s="51">
        <f t="shared" si="22"/>
        <v>-278</v>
      </c>
      <c r="W41" s="51">
        <f t="shared" si="22"/>
        <v>-600.5</v>
      </c>
      <c r="X41" s="51">
        <f t="shared" si="22"/>
        <v>-160</v>
      </c>
      <c r="Y41" s="51">
        <f t="shared" si="22"/>
        <v>-236.17000000000002</v>
      </c>
      <c r="Z41" s="51">
        <f t="shared" si="22"/>
        <v>-772.83</v>
      </c>
      <c r="AA41" s="51">
        <f t="shared" si="22"/>
        <v>-215.17000000000002</v>
      </c>
      <c r="AB41" s="51">
        <f t="shared" si="22"/>
        <v>-155</v>
      </c>
      <c r="AC41" s="52">
        <f t="shared" si="22"/>
        <v>-4697.5200000000004</v>
      </c>
      <c r="AD41" s="51">
        <f t="shared" si="22"/>
        <v>-978.83</v>
      </c>
      <c r="AE41" s="51">
        <f t="shared" si="22"/>
        <v>-274.66999999999996</v>
      </c>
      <c r="AF41" s="51">
        <f t="shared" si="22"/>
        <v>-171.82999999999998</v>
      </c>
      <c r="AG41" s="51">
        <f t="shared" si="22"/>
        <v>-549.16</v>
      </c>
      <c r="AH41" s="51">
        <f t="shared" si="22"/>
        <v>-168.67000000000002</v>
      </c>
      <c r="AI41" s="51">
        <f t="shared" si="22"/>
        <v>-108</v>
      </c>
      <c r="AJ41" s="51">
        <f t="shared" ref="AJ41:BO41" si="23">SUM(AJ33:AJ40)*-1</f>
        <v>-643.16</v>
      </c>
      <c r="AK41" s="51">
        <f t="shared" si="23"/>
        <v>-120</v>
      </c>
      <c r="AL41" s="51">
        <f t="shared" si="23"/>
        <v>-208</v>
      </c>
      <c r="AM41" s="51">
        <f t="shared" si="23"/>
        <v>-659.17</v>
      </c>
      <c r="AN41" s="51">
        <f t="shared" si="23"/>
        <v>-200.82999999999998</v>
      </c>
      <c r="AO41" s="51">
        <f t="shared" si="23"/>
        <v>-52.5</v>
      </c>
      <c r="AP41" s="52">
        <f t="shared" si="23"/>
        <v>-4134.82</v>
      </c>
      <c r="AQ41" s="51">
        <f t="shared" si="23"/>
        <v>0</v>
      </c>
      <c r="AR41" s="51">
        <f t="shared" si="23"/>
        <v>0</v>
      </c>
      <c r="AS41" s="51">
        <f t="shared" si="23"/>
        <v>0</v>
      </c>
      <c r="AT41" s="51">
        <f t="shared" si="23"/>
        <v>0</v>
      </c>
      <c r="AU41" s="51">
        <f t="shared" si="23"/>
        <v>0</v>
      </c>
      <c r="AV41" s="51">
        <f t="shared" si="23"/>
        <v>0</v>
      </c>
      <c r="AW41" s="51">
        <f t="shared" si="23"/>
        <v>0</v>
      </c>
      <c r="AX41" s="51">
        <f t="shared" si="23"/>
        <v>0</v>
      </c>
      <c r="AY41" s="51">
        <f t="shared" si="23"/>
        <v>0</v>
      </c>
      <c r="AZ41" s="51">
        <f t="shared" si="23"/>
        <v>0</v>
      </c>
      <c r="BA41" s="51">
        <f t="shared" si="23"/>
        <v>0</v>
      </c>
      <c r="BB41" s="51">
        <f t="shared" si="23"/>
        <v>0</v>
      </c>
      <c r="BC41" s="52">
        <f t="shared" si="23"/>
        <v>0</v>
      </c>
      <c r="BD41" s="51">
        <f t="shared" si="23"/>
        <v>0</v>
      </c>
      <c r="BE41" s="51">
        <f t="shared" si="23"/>
        <v>0</v>
      </c>
      <c r="BF41" s="51">
        <f t="shared" si="23"/>
        <v>0</v>
      </c>
      <c r="BG41" s="51">
        <f t="shared" si="23"/>
        <v>0</v>
      </c>
      <c r="BH41" s="51">
        <f t="shared" si="23"/>
        <v>0</v>
      </c>
      <c r="BI41" s="51">
        <f t="shared" si="23"/>
        <v>0</v>
      </c>
      <c r="BJ41" s="51">
        <f t="shared" si="23"/>
        <v>0</v>
      </c>
      <c r="BK41" s="51">
        <f t="shared" si="23"/>
        <v>0</v>
      </c>
      <c r="BL41" s="51">
        <f t="shared" si="23"/>
        <v>0</v>
      </c>
      <c r="BM41" s="51">
        <f t="shared" si="23"/>
        <v>0</v>
      </c>
      <c r="BN41" s="51">
        <f t="shared" si="23"/>
        <v>0</v>
      </c>
      <c r="BO41" s="51">
        <f t="shared" si="23"/>
        <v>0</v>
      </c>
      <c r="BP41" s="52">
        <f t="shared" ref="BP41:CU41" si="24">SUM(BP33:BP40)*-1</f>
        <v>0</v>
      </c>
    </row>
    <row r="43" spans="1:68" s="8" customFormat="1" x14ac:dyDescent="0.25">
      <c r="A43" s="38" t="s">
        <v>79</v>
      </c>
      <c r="B43" s="39"/>
      <c r="C43" s="38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1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1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1"/>
      <c r="AQ43" s="42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1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1"/>
    </row>
    <row r="44" spans="1:68" x14ac:dyDescent="0.25">
      <c r="A44" t="s">
        <v>80</v>
      </c>
      <c r="B44" s="2" t="s">
        <v>81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>SUM(D44:O44)</f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4">
        <f>SUM(Q44:AB44)</f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4">
        <f>SUM(AD44:AO44)</f>
        <v>0</v>
      </c>
      <c r="AQ44" s="5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4">
        <f>SUM(AQ44:BB44)</f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4">
        <f>SUM(BD44:BO44)</f>
        <v>0</v>
      </c>
    </row>
    <row r="45" spans="1:68" x14ac:dyDescent="0.25">
      <c r="A45" t="s">
        <v>82</v>
      </c>
      <c r="B45" s="2" t="s">
        <v>83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-4000</v>
      </c>
      <c r="P45" s="4">
        <f>SUM(D45:O45)</f>
        <v>-4000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1000</v>
      </c>
      <c r="AC45" s="4">
        <f>SUM(Q45:AB45)</f>
        <v>1000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1000</v>
      </c>
      <c r="AP45" s="4">
        <f>SUM(AD45:AO45)</f>
        <v>1000</v>
      </c>
      <c r="AQ45" s="5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4">
        <f>SUM(AQ45:BB45)</f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4">
        <f>SUM(BD45:BO45)</f>
        <v>0</v>
      </c>
    </row>
    <row r="46" spans="1:68" x14ac:dyDescent="0.25">
      <c r="A46" t="s">
        <v>84</v>
      </c>
      <c r="B46" s="2" t="s">
        <v>85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>SUM(D46:O46)</f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4">
        <f>SUM(Q46:AB46)</f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4">
        <f>SUM(AD46:AO46)</f>
        <v>0</v>
      </c>
      <c r="AQ46" s="5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4">
        <f>SUM(AQ46:BB46)</f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4">
        <f>SUM(BD46:BO46)</f>
        <v>0</v>
      </c>
    </row>
    <row r="47" spans="1:68" s="10" customFormat="1" x14ac:dyDescent="0.25">
      <c r="A47" s="48" t="s">
        <v>20</v>
      </c>
      <c r="B47" s="49"/>
      <c r="C47" s="50" t="s">
        <v>86</v>
      </c>
      <c r="D47" s="51">
        <f t="shared" ref="D47:AI47" si="25">SUM(D44:D46)*-1</f>
        <v>0</v>
      </c>
      <c r="E47" s="51">
        <f t="shared" si="25"/>
        <v>0</v>
      </c>
      <c r="F47" s="51">
        <f t="shared" si="25"/>
        <v>0</v>
      </c>
      <c r="G47" s="51">
        <f t="shared" si="25"/>
        <v>0</v>
      </c>
      <c r="H47" s="51">
        <f t="shared" si="25"/>
        <v>0</v>
      </c>
      <c r="I47" s="51">
        <f t="shared" si="25"/>
        <v>0</v>
      </c>
      <c r="J47" s="51">
        <f t="shared" si="25"/>
        <v>0</v>
      </c>
      <c r="K47" s="51">
        <f t="shared" si="25"/>
        <v>0</v>
      </c>
      <c r="L47" s="51">
        <f t="shared" si="25"/>
        <v>0</v>
      </c>
      <c r="M47" s="51">
        <f t="shared" si="25"/>
        <v>0</v>
      </c>
      <c r="N47" s="51">
        <f t="shared" si="25"/>
        <v>0</v>
      </c>
      <c r="O47" s="51">
        <f t="shared" si="25"/>
        <v>4000</v>
      </c>
      <c r="P47" s="52">
        <f t="shared" si="25"/>
        <v>4000</v>
      </c>
      <c r="Q47" s="51">
        <f t="shared" si="25"/>
        <v>0</v>
      </c>
      <c r="R47" s="51">
        <f t="shared" si="25"/>
        <v>0</v>
      </c>
      <c r="S47" s="51">
        <f t="shared" si="25"/>
        <v>0</v>
      </c>
      <c r="T47" s="51">
        <f t="shared" si="25"/>
        <v>0</v>
      </c>
      <c r="U47" s="51">
        <f t="shared" si="25"/>
        <v>0</v>
      </c>
      <c r="V47" s="51">
        <f t="shared" si="25"/>
        <v>0</v>
      </c>
      <c r="W47" s="51">
        <f t="shared" si="25"/>
        <v>0</v>
      </c>
      <c r="X47" s="51">
        <f t="shared" si="25"/>
        <v>0</v>
      </c>
      <c r="Y47" s="51">
        <f t="shared" si="25"/>
        <v>0</v>
      </c>
      <c r="Z47" s="51">
        <f t="shared" si="25"/>
        <v>0</v>
      </c>
      <c r="AA47" s="51">
        <f t="shared" si="25"/>
        <v>0</v>
      </c>
      <c r="AB47" s="51">
        <f t="shared" si="25"/>
        <v>-1000</v>
      </c>
      <c r="AC47" s="52">
        <f t="shared" si="25"/>
        <v>-1000</v>
      </c>
      <c r="AD47" s="51">
        <f t="shared" si="25"/>
        <v>0</v>
      </c>
      <c r="AE47" s="51">
        <f t="shared" si="25"/>
        <v>0</v>
      </c>
      <c r="AF47" s="51">
        <f t="shared" si="25"/>
        <v>0</v>
      </c>
      <c r="AG47" s="51">
        <f t="shared" si="25"/>
        <v>0</v>
      </c>
      <c r="AH47" s="51">
        <f t="shared" si="25"/>
        <v>0</v>
      </c>
      <c r="AI47" s="51">
        <f t="shared" si="25"/>
        <v>0</v>
      </c>
      <c r="AJ47" s="51">
        <f t="shared" ref="AJ47:BO47" si="26">SUM(AJ44:AJ46)*-1</f>
        <v>0</v>
      </c>
      <c r="AK47" s="51">
        <f t="shared" si="26"/>
        <v>0</v>
      </c>
      <c r="AL47" s="51">
        <f t="shared" si="26"/>
        <v>0</v>
      </c>
      <c r="AM47" s="51">
        <f t="shared" si="26"/>
        <v>0</v>
      </c>
      <c r="AN47" s="51">
        <f t="shared" si="26"/>
        <v>0</v>
      </c>
      <c r="AO47" s="51">
        <f t="shared" si="26"/>
        <v>-1000</v>
      </c>
      <c r="AP47" s="52">
        <f t="shared" si="26"/>
        <v>-1000</v>
      </c>
      <c r="AQ47" s="51">
        <f t="shared" si="26"/>
        <v>0</v>
      </c>
      <c r="AR47" s="51">
        <f t="shared" si="26"/>
        <v>0</v>
      </c>
      <c r="AS47" s="51">
        <f t="shared" si="26"/>
        <v>0</v>
      </c>
      <c r="AT47" s="51">
        <f t="shared" si="26"/>
        <v>0</v>
      </c>
      <c r="AU47" s="51">
        <f t="shared" si="26"/>
        <v>0</v>
      </c>
      <c r="AV47" s="51">
        <f t="shared" si="26"/>
        <v>0</v>
      </c>
      <c r="AW47" s="51">
        <f t="shared" si="26"/>
        <v>0</v>
      </c>
      <c r="AX47" s="51">
        <f t="shared" si="26"/>
        <v>0</v>
      </c>
      <c r="AY47" s="51">
        <f t="shared" si="26"/>
        <v>0</v>
      </c>
      <c r="AZ47" s="51">
        <f t="shared" si="26"/>
        <v>0</v>
      </c>
      <c r="BA47" s="51">
        <f t="shared" si="26"/>
        <v>0</v>
      </c>
      <c r="BB47" s="51">
        <f t="shared" si="26"/>
        <v>0</v>
      </c>
      <c r="BC47" s="52">
        <f t="shared" si="26"/>
        <v>0</v>
      </c>
      <c r="BD47" s="51">
        <f t="shared" si="26"/>
        <v>0</v>
      </c>
      <c r="BE47" s="51">
        <f t="shared" si="26"/>
        <v>0</v>
      </c>
      <c r="BF47" s="51">
        <f t="shared" si="26"/>
        <v>0</v>
      </c>
      <c r="BG47" s="51">
        <f t="shared" si="26"/>
        <v>0</v>
      </c>
      <c r="BH47" s="51">
        <f t="shared" si="26"/>
        <v>0</v>
      </c>
      <c r="BI47" s="51">
        <f t="shared" si="26"/>
        <v>0</v>
      </c>
      <c r="BJ47" s="51">
        <f t="shared" si="26"/>
        <v>0</v>
      </c>
      <c r="BK47" s="51">
        <f t="shared" si="26"/>
        <v>0</v>
      </c>
      <c r="BL47" s="51">
        <f t="shared" si="26"/>
        <v>0</v>
      </c>
      <c r="BM47" s="51">
        <f t="shared" si="26"/>
        <v>0</v>
      </c>
      <c r="BN47" s="51">
        <f t="shared" si="26"/>
        <v>0</v>
      </c>
      <c r="BO47" s="51">
        <f t="shared" si="26"/>
        <v>0</v>
      </c>
      <c r="BP47" s="52">
        <f t="shared" ref="BP47:CU47" si="27">SUM(BP44:BP46)*-1</f>
        <v>0</v>
      </c>
    </row>
    <row r="49" spans="1:68" s="8" customFormat="1" x14ac:dyDescent="0.25">
      <c r="A49" s="38" t="s">
        <v>87</v>
      </c>
      <c r="B49" s="39"/>
      <c r="C49" s="38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1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1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1"/>
      <c r="AQ49" s="42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1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1"/>
    </row>
    <row r="50" spans="1:68" x14ac:dyDescent="0.25">
      <c r="A50" t="s">
        <v>88</v>
      </c>
      <c r="B50" s="2" t="s">
        <v>87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f>SUM(D50:O50)</f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4">
        <f>SUM(Q50:AB50)</f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4">
        <f>SUM(AD50:AO50)</f>
        <v>0</v>
      </c>
      <c r="AQ50" s="5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4">
        <f>SUM(AQ50:BB50)</f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4">
        <f>SUM(BD50:BO50)</f>
        <v>0</v>
      </c>
    </row>
    <row r="51" spans="1:68" s="10" customFormat="1" x14ac:dyDescent="0.25">
      <c r="A51" s="48" t="s">
        <v>20</v>
      </c>
      <c r="B51" s="49"/>
      <c r="C51" s="50" t="s">
        <v>89</v>
      </c>
      <c r="D51" s="51">
        <f t="shared" ref="D51:AI51" si="28">SUM(D50:D50)*-1</f>
        <v>0</v>
      </c>
      <c r="E51" s="51">
        <f t="shared" si="28"/>
        <v>0</v>
      </c>
      <c r="F51" s="51">
        <f t="shared" si="28"/>
        <v>0</v>
      </c>
      <c r="G51" s="51">
        <f t="shared" si="28"/>
        <v>0</v>
      </c>
      <c r="H51" s="51">
        <f t="shared" si="28"/>
        <v>0</v>
      </c>
      <c r="I51" s="51">
        <f t="shared" si="28"/>
        <v>0</v>
      </c>
      <c r="J51" s="51">
        <f t="shared" si="28"/>
        <v>0</v>
      </c>
      <c r="K51" s="51">
        <f t="shared" si="28"/>
        <v>0</v>
      </c>
      <c r="L51" s="51">
        <f t="shared" si="28"/>
        <v>0</v>
      </c>
      <c r="M51" s="51">
        <f t="shared" si="28"/>
        <v>0</v>
      </c>
      <c r="N51" s="51">
        <f t="shared" si="28"/>
        <v>0</v>
      </c>
      <c r="O51" s="51">
        <f t="shared" si="28"/>
        <v>0</v>
      </c>
      <c r="P51" s="52">
        <f t="shared" si="28"/>
        <v>0</v>
      </c>
      <c r="Q51" s="51">
        <f t="shared" si="28"/>
        <v>0</v>
      </c>
      <c r="R51" s="51">
        <f t="shared" si="28"/>
        <v>0</v>
      </c>
      <c r="S51" s="51">
        <f t="shared" si="28"/>
        <v>0</v>
      </c>
      <c r="T51" s="51">
        <f t="shared" si="28"/>
        <v>0</v>
      </c>
      <c r="U51" s="51">
        <f t="shared" si="28"/>
        <v>0</v>
      </c>
      <c r="V51" s="51">
        <f t="shared" si="28"/>
        <v>0</v>
      </c>
      <c r="W51" s="51">
        <f t="shared" si="28"/>
        <v>0</v>
      </c>
      <c r="X51" s="51">
        <f t="shared" si="28"/>
        <v>0</v>
      </c>
      <c r="Y51" s="51">
        <f t="shared" si="28"/>
        <v>0</v>
      </c>
      <c r="Z51" s="51">
        <f t="shared" si="28"/>
        <v>0</v>
      </c>
      <c r="AA51" s="51">
        <f t="shared" si="28"/>
        <v>0</v>
      </c>
      <c r="AB51" s="51">
        <f t="shared" si="28"/>
        <v>0</v>
      </c>
      <c r="AC51" s="52">
        <f t="shared" si="28"/>
        <v>0</v>
      </c>
      <c r="AD51" s="51">
        <f t="shared" si="28"/>
        <v>0</v>
      </c>
      <c r="AE51" s="51">
        <f t="shared" si="28"/>
        <v>0</v>
      </c>
      <c r="AF51" s="51">
        <f t="shared" si="28"/>
        <v>0</v>
      </c>
      <c r="AG51" s="51">
        <f t="shared" si="28"/>
        <v>0</v>
      </c>
      <c r="AH51" s="51">
        <f t="shared" si="28"/>
        <v>0</v>
      </c>
      <c r="AI51" s="51">
        <f t="shared" si="28"/>
        <v>0</v>
      </c>
      <c r="AJ51" s="51">
        <f t="shared" ref="AJ51:BO51" si="29">SUM(AJ50:AJ50)*-1</f>
        <v>0</v>
      </c>
      <c r="AK51" s="51">
        <f t="shared" si="29"/>
        <v>0</v>
      </c>
      <c r="AL51" s="51">
        <f t="shared" si="29"/>
        <v>0</v>
      </c>
      <c r="AM51" s="51">
        <f t="shared" si="29"/>
        <v>0</v>
      </c>
      <c r="AN51" s="51">
        <f t="shared" si="29"/>
        <v>0</v>
      </c>
      <c r="AO51" s="51">
        <f t="shared" si="29"/>
        <v>0</v>
      </c>
      <c r="AP51" s="52">
        <f t="shared" si="29"/>
        <v>0</v>
      </c>
      <c r="AQ51" s="51">
        <f t="shared" si="29"/>
        <v>0</v>
      </c>
      <c r="AR51" s="51">
        <f t="shared" si="29"/>
        <v>0</v>
      </c>
      <c r="AS51" s="51">
        <f t="shared" si="29"/>
        <v>0</v>
      </c>
      <c r="AT51" s="51">
        <f t="shared" si="29"/>
        <v>0</v>
      </c>
      <c r="AU51" s="51">
        <f t="shared" si="29"/>
        <v>0</v>
      </c>
      <c r="AV51" s="51">
        <f t="shared" si="29"/>
        <v>0</v>
      </c>
      <c r="AW51" s="51">
        <f t="shared" si="29"/>
        <v>0</v>
      </c>
      <c r="AX51" s="51">
        <f t="shared" si="29"/>
        <v>0</v>
      </c>
      <c r="AY51" s="51">
        <f t="shared" si="29"/>
        <v>0</v>
      </c>
      <c r="AZ51" s="51">
        <f t="shared" si="29"/>
        <v>0</v>
      </c>
      <c r="BA51" s="51">
        <f t="shared" si="29"/>
        <v>0</v>
      </c>
      <c r="BB51" s="51">
        <f t="shared" si="29"/>
        <v>0</v>
      </c>
      <c r="BC51" s="52">
        <f t="shared" si="29"/>
        <v>0</v>
      </c>
      <c r="BD51" s="51">
        <f t="shared" si="29"/>
        <v>0</v>
      </c>
      <c r="BE51" s="51">
        <f t="shared" si="29"/>
        <v>0</v>
      </c>
      <c r="BF51" s="51">
        <f t="shared" si="29"/>
        <v>0</v>
      </c>
      <c r="BG51" s="51">
        <f t="shared" si="29"/>
        <v>0</v>
      </c>
      <c r="BH51" s="51">
        <f t="shared" si="29"/>
        <v>0</v>
      </c>
      <c r="BI51" s="51">
        <f t="shared" si="29"/>
        <v>0</v>
      </c>
      <c r="BJ51" s="51">
        <f t="shared" si="29"/>
        <v>0</v>
      </c>
      <c r="BK51" s="51">
        <f t="shared" si="29"/>
        <v>0</v>
      </c>
      <c r="BL51" s="51">
        <f t="shared" si="29"/>
        <v>0</v>
      </c>
      <c r="BM51" s="51">
        <f t="shared" si="29"/>
        <v>0</v>
      </c>
      <c r="BN51" s="51">
        <f t="shared" si="29"/>
        <v>0</v>
      </c>
      <c r="BO51" s="51">
        <f t="shared" si="29"/>
        <v>0</v>
      </c>
      <c r="BP51" s="52">
        <f t="shared" ref="BP51:CU51" si="30">SUM(BP50:BP50)*-1</f>
        <v>0</v>
      </c>
    </row>
    <row r="53" spans="1:68" s="8" customFormat="1" x14ac:dyDescent="0.25">
      <c r="A53" s="38" t="s">
        <v>90</v>
      </c>
      <c r="B53" s="39"/>
      <c r="C53" s="38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1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1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1"/>
      <c r="AQ53" s="42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1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1"/>
    </row>
    <row r="54" spans="1:68" x14ac:dyDescent="0.25">
      <c r="A54" t="s">
        <v>91</v>
      </c>
      <c r="B54" s="2" t="s">
        <v>92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4">
        <f>SUM(D54:O54)</f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4">
        <f>SUM(Q54:AB54)</f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4">
        <f>SUM(AD54:AO54)</f>
        <v>0</v>
      </c>
      <c r="AQ54" s="5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4">
        <f>SUM(AQ54:BB54)</f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4">
        <f>SUM(BD54:BO54)</f>
        <v>0</v>
      </c>
    </row>
    <row r="55" spans="1:68" x14ac:dyDescent="0.25">
      <c r="A55" t="s">
        <v>93</v>
      </c>
      <c r="B55" s="2" t="s">
        <v>94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>SUM(D55:O55)</f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4">
        <f>SUM(Q55:AB55)</f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4">
        <f>SUM(AD55:AO55)</f>
        <v>0</v>
      </c>
      <c r="AQ55" s="5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4">
        <f>SUM(AQ55:BB55)</f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4">
        <f>SUM(BD55:BO55)</f>
        <v>0</v>
      </c>
    </row>
    <row r="56" spans="1:68" x14ac:dyDescent="0.25">
      <c r="A56" t="s">
        <v>95</v>
      </c>
      <c r="B56" s="2" t="s">
        <v>96</v>
      </c>
      <c r="D56" s="3">
        <v>0</v>
      </c>
      <c r="E56" s="3">
        <v>0</v>
      </c>
      <c r="F56" s="3">
        <v>0</v>
      </c>
      <c r="G56" s="3">
        <v>160</v>
      </c>
      <c r="H56" s="3">
        <v>0</v>
      </c>
      <c r="I56" s="3">
        <v>0</v>
      </c>
      <c r="J56" s="3">
        <v>0</v>
      </c>
      <c r="K56" s="3">
        <v>155</v>
      </c>
      <c r="L56" s="3">
        <v>0</v>
      </c>
      <c r="M56" s="3">
        <v>0</v>
      </c>
      <c r="N56" s="3">
        <v>0</v>
      </c>
      <c r="O56" s="3">
        <v>191</v>
      </c>
      <c r="P56" s="4">
        <f>SUM(D56:O56)</f>
        <v>506</v>
      </c>
      <c r="Q56" s="3">
        <v>0</v>
      </c>
      <c r="R56" s="3">
        <v>0</v>
      </c>
      <c r="S56" s="3">
        <v>0</v>
      </c>
      <c r="T56" s="3">
        <v>52</v>
      </c>
      <c r="U56" s="3">
        <v>0</v>
      </c>
      <c r="V56" s="3">
        <v>0</v>
      </c>
      <c r="W56" s="3">
        <v>0</v>
      </c>
      <c r="X56" s="3">
        <v>149</v>
      </c>
      <c r="Y56" s="3">
        <v>0</v>
      </c>
      <c r="Z56" s="3">
        <v>0</v>
      </c>
      <c r="AA56" s="3">
        <v>0</v>
      </c>
      <c r="AB56" s="3">
        <v>163</v>
      </c>
      <c r="AC56" s="4">
        <f>SUM(Q56:AB56)</f>
        <v>364</v>
      </c>
      <c r="AD56" s="3">
        <v>0</v>
      </c>
      <c r="AE56" s="3">
        <v>0</v>
      </c>
      <c r="AF56" s="3">
        <v>0</v>
      </c>
      <c r="AG56" s="3">
        <v>57</v>
      </c>
      <c r="AH56" s="3">
        <v>0</v>
      </c>
      <c r="AI56" s="3">
        <v>0</v>
      </c>
      <c r="AJ56" s="3">
        <v>0</v>
      </c>
      <c r="AK56" s="3">
        <v>199</v>
      </c>
      <c r="AL56" s="3">
        <v>0</v>
      </c>
      <c r="AM56" s="3">
        <v>0</v>
      </c>
      <c r="AN56" s="3">
        <v>0</v>
      </c>
      <c r="AO56" s="3">
        <v>60</v>
      </c>
      <c r="AP56" s="4">
        <f>SUM(AD56:AO56)</f>
        <v>316</v>
      </c>
      <c r="AQ56" s="5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4">
        <f>SUM(AQ56:BB56)</f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4">
        <f>SUM(BD56:BO56)</f>
        <v>0</v>
      </c>
    </row>
    <row r="57" spans="1:68" s="10" customFormat="1" x14ac:dyDescent="0.25">
      <c r="A57" s="48" t="s">
        <v>20</v>
      </c>
      <c r="B57" s="49"/>
      <c r="C57" s="50" t="s">
        <v>97</v>
      </c>
      <c r="D57" s="51">
        <f t="shared" ref="D57:AI57" si="31">SUM(D54:D56)*-1</f>
        <v>0</v>
      </c>
      <c r="E57" s="51">
        <f t="shared" si="31"/>
        <v>0</v>
      </c>
      <c r="F57" s="51">
        <f t="shared" si="31"/>
        <v>0</v>
      </c>
      <c r="G57" s="51">
        <f t="shared" si="31"/>
        <v>-160</v>
      </c>
      <c r="H57" s="51">
        <f t="shared" si="31"/>
        <v>0</v>
      </c>
      <c r="I57" s="51">
        <f t="shared" si="31"/>
        <v>0</v>
      </c>
      <c r="J57" s="51">
        <f t="shared" si="31"/>
        <v>0</v>
      </c>
      <c r="K57" s="51">
        <f t="shared" si="31"/>
        <v>-155</v>
      </c>
      <c r="L57" s="51">
        <f t="shared" si="31"/>
        <v>0</v>
      </c>
      <c r="M57" s="51">
        <f t="shared" si="31"/>
        <v>0</v>
      </c>
      <c r="N57" s="51">
        <f t="shared" si="31"/>
        <v>0</v>
      </c>
      <c r="O57" s="51">
        <f t="shared" si="31"/>
        <v>-191</v>
      </c>
      <c r="P57" s="52">
        <f t="shared" si="31"/>
        <v>-506</v>
      </c>
      <c r="Q57" s="51">
        <f t="shared" si="31"/>
        <v>0</v>
      </c>
      <c r="R57" s="51">
        <f t="shared" si="31"/>
        <v>0</v>
      </c>
      <c r="S57" s="51">
        <f t="shared" si="31"/>
        <v>0</v>
      </c>
      <c r="T57" s="51">
        <f t="shared" si="31"/>
        <v>-52</v>
      </c>
      <c r="U57" s="51">
        <f t="shared" si="31"/>
        <v>0</v>
      </c>
      <c r="V57" s="51">
        <f t="shared" si="31"/>
        <v>0</v>
      </c>
      <c r="W57" s="51">
        <f t="shared" si="31"/>
        <v>0</v>
      </c>
      <c r="X57" s="51">
        <f t="shared" si="31"/>
        <v>-149</v>
      </c>
      <c r="Y57" s="51">
        <f t="shared" si="31"/>
        <v>0</v>
      </c>
      <c r="Z57" s="51">
        <f t="shared" si="31"/>
        <v>0</v>
      </c>
      <c r="AA57" s="51">
        <f t="shared" si="31"/>
        <v>0</v>
      </c>
      <c r="AB57" s="51">
        <f t="shared" si="31"/>
        <v>-163</v>
      </c>
      <c r="AC57" s="52">
        <f t="shared" si="31"/>
        <v>-364</v>
      </c>
      <c r="AD57" s="51">
        <f t="shared" si="31"/>
        <v>0</v>
      </c>
      <c r="AE57" s="51">
        <f t="shared" si="31"/>
        <v>0</v>
      </c>
      <c r="AF57" s="51">
        <f t="shared" si="31"/>
        <v>0</v>
      </c>
      <c r="AG57" s="51">
        <f t="shared" si="31"/>
        <v>-57</v>
      </c>
      <c r="AH57" s="51">
        <f t="shared" si="31"/>
        <v>0</v>
      </c>
      <c r="AI57" s="51">
        <f t="shared" si="31"/>
        <v>0</v>
      </c>
      <c r="AJ57" s="51">
        <f t="shared" ref="AJ57:BO57" si="32">SUM(AJ54:AJ56)*-1</f>
        <v>0</v>
      </c>
      <c r="AK57" s="51">
        <f t="shared" si="32"/>
        <v>-199</v>
      </c>
      <c r="AL57" s="51">
        <f t="shared" si="32"/>
        <v>0</v>
      </c>
      <c r="AM57" s="51">
        <f t="shared" si="32"/>
        <v>0</v>
      </c>
      <c r="AN57" s="51">
        <f t="shared" si="32"/>
        <v>0</v>
      </c>
      <c r="AO57" s="51">
        <f t="shared" si="32"/>
        <v>-60</v>
      </c>
      <c r="AP57" s="52">
        <f t="shared" si="32"/>
        <v>-316</v>
      </c>
      <c r="AQ57" s="51">
        <f t="shared" si="32"/>
        <v>0</v>
      </c>
      <c r="AR57" s="51">
        <f t="shared" si="32"/>
        <v>0</v>
      </c>
      <c r="AS57" s="51">
        <f t="shared" si="32"/>
        <v>0</v>
      </c>
      <c r="AT57" s="51">
        <f t="shared" si="32"/>
        <v>0</v>
      </c>
      <c r="AU57" s="51">
        <f t="shared" si="32"/>
        <v>0</v>
      </c>
      <c r="AV57" s="51">
        <f t="shared" si="32"/>
        <v>0</v>
      </c>
      <c r="AW57" s="51">
        <f t="shared" si="32"/>
        <v>0</v>
      </c>
      <c r="AX57" s="51">
        <f t="shared" si="32"/>
        <v>0</v>
      </c>
      <c r="AY57" s="51">
        <f t="shared" si="32"/>
        <v>0</v>
      </c>
      <c r="AZ57" s="51">
        <f t="shared" si="32"/>
        <v>0</v>
      </c>
      <c r="BA57" s="51">
        <f t="shared" si="32"/>
        <v>0</v>
      </c>
      <c r="BB57" s="51">
        <f t="shared" si="32"/>
        <v>0</v>
      </c>
      <c r="BC57" s="52">
        <f t="shared" si="32"/>
        <v>0</v>
      </c>
      <c r="BD57" s="51">
        <f t="shared" si="32"/>
        <v>0</v>
      </c>
      <c r="BE57" s="51">
        <f t="shared" si="32"/>
        <v>0</v>
      </c>
      <c r="BF57" s="51">
        <f t="shared" si="32"/>
        <v>0</v>
      </c>
      <c r="BG57" s="51">
        <f t="shared" si="32"/>
        <v>0</v>
      </c>
      <c r="BH57" s="51">
        <f t="shared" si="32"/>
        <v>0</v>
      </c>
      <c r="BI57" s="51">
        <f t="shared" si="32"/>
        <v>0</v>
      </c>
      <c r="BJ57" s="51">
        <f t="shared" si="32"/>
        <v>0</v>
      </c>
      <c r="BK57" s="51">
        <f t="shared" si="32"/>
        <v>0</v>
      </c>
      <c r="BL57" s="51">
        <f t="shared" si="32"/>
        <v>0</v>
      </c>
      <c r="BM57" s="51">
        <f t="shared" si="32"/>
        <v>0</v>
      </c>
      <c r="BN57" s="51">
        <f t="shared" si="32"/>
        <v>0</v>
      </c>
      <c r="BO57" s="51">
        <f t="shared" si="32"/>
        <v>0</v>
      </c>
      <c r="BP57" s="52">
        <f t="shared" ref="BP57:CU57" si="33">SUM(BP54:BP56)*-1</f>
        <v>0</v>
      </c>
    </row>
    <row r="59" spans="1:68" s="11" customFormat="1" x14ac:dyDescent="0.25">
      <c r="A59" s="11" t="s">
        <v>98</v>
      </c>
      <c r="B59" s="53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5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5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5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5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5"/>
    </row>
    <row r="60" spans="1:68" customFormat="1" x14ac:dyDescent="0.25">
      <c r="A60" t="s">
        <v>35</v>
      </c>
      <c r="B60" s="2" t="s">
        <v>29</v>
      </c>
      <c r="D60" s="27">
        <f t="shared" ref="D60:AI60" si="34">D10</f>
        <v>0</v>
      </c>
      <c r="E60" s="27">
        <f t="shared" si="34"/>
        <v>8992.9500000000007</v>
      </c>
      <c r="F60" s="27">
        <f t="shared" si="34"/>
        <v>19608.330000000002</v>
      </c>
      <c r="G60" s="27">
        <f t="shared" si="34"/>
        <v>16746.39</v>
      </c>
      <c r="H60" s="27">
        <f t="shared" si="34"/>
        <v>5874.42</v>
      </c>
      <c r="I60" s="27">
        <f t="shared" si="34"/>
        <v>23362.05</v>
      </c>
      <c r="J60" s="27">
        <f t="shared" si="34"/>
        <v>9693.1200000000008</v>
      </c>
      <c r="K60" s="27">
        <f t="shared" si="34"/>
        <v>25175.4</v>
      </c>
      <c r="L60" s="27">
        <f t="shared" si="34"/>
        <v>13632.63</v>
      </c>
      <c r="M60" s="27">
        <f t="shared" si="34"/>
        <v>31791.06</v>
      </c>
      <c r="N60" s="27">
        <f t="shared" si="34"/>
        <v>26673.84</v>
      </c>
      <c r="O60" s="27">
        <f t="shared" si="34"/>
        <v>31413.42</v>
      </c>
      <c r="P60" s="4">
        <f t="shared" si="34"/>
        <v>212963.61</v>
      </c>
      <c r="Q60" s="27">
        <f t="shared" si="34"/>
        <v>11843.64</v>
      </c>
      <c r="R60" s="27">
        <f t="shared" si="34"/>
        <v>41841.54</v>
      </c>
      <c r="S60" s="27">
        <f t="shared" si="34"/>
        <v>16614.240000000002</v>
      </c>
      <c r="T60" s="27">
        <f t="shared" si="34"/>
        <v>35353.199999999997</v>
      </c>
      <c r="U60" s="27">
        <f t="shared" si="34"/>
        <v>26700.48</v>
      </c>
      <c r="V60" s="27">
        <f t="shared" si="34"/>
        <v>28303.41</v>
      </c>
      <c r="W60" s="27">
        <f t="shared" si="34"/>
        <v>23415.57</v>
      </c>
      <c r="X60" s="27">
        <f t="shared" si="34"/>
        <v>24358.89</v>
      </c>
      <c r="Y60" s="27">
        <f t="shared" si="34"/>
        <v>10332.66</v>
      </c>
      <c r="Z60" s="27">
        <f t="shared" si="34"/>
        <v>42557.85</v>
      </c>
      <c r="AA60" s="27">
        <f t="shared" si="34"/>
        <v>10303.200000000001</v>
      </c>
      <c r="AB60" s="27">
        <f t="shared" si="34"/>
        <v>30697.11</v>
      </c>
      <c r="AC60" s="4">
        <f t="shared" si="34"/>
        <v>302321.79000000004</v>
      </c>
      <c r="AD60" s="27">
        <f t="shared" si="34"/>
        <v>10588.635</v>
      </c>
      <c r="AE60" s="27">
        <f t="shared" si="34"/>
        <v>21943.62</v>
      </c>
      <c r="AF60" s="27">
        <f t="shared" si="34"/>
        <v>18487.650000000001</v>
      </c>
      <c r="AG60" s="27">
        <f t="shared" si="34"/>
        <v>39447.839999999997</v>
      </c>
      <c r="AH60" s="27">
        <f t="shared" si="34"/>
        <v>7074.39</v>
      </c>
      <c r="AI60" s="27">
        <f t="shared" si="34"/>
        <v>37768.47</v>
      </c>
      <c r="AJ60" s="27">
        <f t="shared" ref="AJ60:BP60" si="35">AJ10</f>
        <v>13107.09</v>
      </c>
      <c r="AK60" s="27">
        <f t="shared" si="35"/>
        <v>21795.87</v>
      </c>
      <c r="AL60" s="27">
        <f t="shared" si="35"/>
        <v>13077.63</v>
      </c>
      <c r="AM60" s="27">
        <f t="shared" si="35"/>
        <v>26905.08</v>
      </c>
      <c r="AN60" s="27">
        <f t="shared" si="35"/>
        <v>27601.5</v>
      </c>
      <c r="AO60" s="27">
        <f t="shared" si="35"/>
        <v>25735.65</v>
      </c>
      <c r="AP60" s="4">
        <f t="shared" si="35"/>
        <v>263533.42499999999</v>
      </c>
      <c r="AQ60" s="28">
        <f t="shared" si="35"/>
        <v>0</v>
      </c>
      <c r="AR60" s="27">
        <f t="shared" si="35"/>
        <v>0</v>
      </c>
      <c r="AS60" s="27">
        <f t="shared" si="35"/>
        <v>0</v>
      </c>
      <c r="AT60" s="27">
        <f t="shared" si="35"/>
        <v>0</v>
      </c>
      <c r="AU60" s="27">
        <f t="shared" si="35"/>
        <v>0</v>
      </c>
      <c r="AV60" s="27">
        <f t="shared" si="35"/>
        <v>0</v>
      </c>
      <c r="AW60" s="27">
        <f t="shared" si="35"/>
        <v>0</v>
      </c>
      <c r="AX60" s="27">
        <f t="shared" si="35"/>
        <v>0</v>
      </c>
      <c r="AY60" s="27">
        <f t="shared" si="35"/>
        <v>0</v>
      </c>
      <c r="AZ60" s="27">
        <f t="shared" si="35"/>
        <v>0</v>
      </c>
      <c r="BA60" s="27">
        <f t="shared" si="35"/>
        <v>0</v>
      </c>
      <c r="BB60" s="27">
        <f t="shared" si="35"/>
        <v>0</v>
      </c>
      <c r="BC60" s="4">
        <f t="shared" si="35"/>
        <v>0</v>
      </c>
      <c r="BD60" s="27">
        <f t="shared" si="35"/>
        <v>0</v>
      </c>
      <c r="BE60" s="27">
        <f t="shared" si="35"/>
        <v>0</v>
      </c>
      <c r="BF60" s="27">
        <f t="shared" si="35"/>
        <v>0</v>
      </c>
      <c r="BG60" s="27">
        <f t="shared" si="35"/>
        <v>0</v>
      </c>
      <c r="BH60" s="27">
        <f t="shared" si="35"/>
        <v>0</v>
      </c>
      <c r="BI60" s="27">
        <f t="shared" si="35"/>
        <v>0</v>
      </c>
      <c r="BJ60" s="27">
        <f t="shared" si="35"/>
        <v>0</v>
      </c>
      <c r="BK60" s="27">
        <f t="shared" si="35"/>
        <v>0</v>
      </c>
      <c r="BL60" s="27">
        <f t="shared" si="35"/>
        <v>0</v>
      </c>
      <c r="BM60" s="27">
        <f t="shared" si="35"/>
        <v>0</v>
      </c>
      <c r="BN60" s="27">
        <f t="shared" si="35"/>
        <v>0</v>
      </c>
      <c r="BO60" s="27">
        <f t="shared" si="35"/>
        <v>0</v>
      </c>
      <c r="BP60" s="4">
        <f t="shared" si="35"/>
        <v>0</v>
      </c>
    </row>
    <row r="61" spans="1:68" customFormat="1" x14ac:dyDescent="0.25">
      <c r="A61" t="s">
        <v>39</v>
      </c>
      <c r="B61" s="2" t="s">
        <v>36</v>
      </c>
      <c r="D61" s="27">
        <f t="shared" ref="D61:AI61" si="36">D14</f>
        <v>5001</v>
      </c>
      <c r="E61" s="27">
        <f t="shared" si="36"/>
        <v>122.5</v>
      </c>
      <c r="F61" s="27">
        <f t="shared" si="36"/>
        <v>111.67</v>
      </c>
      <c r="G61" s="27">
        <f t="shared" si="36"/>
        <v>39.17</v>
      </c>
      <c r="H61" s="27">
        <f t="shared" si="36"/>
        <v>28.33</v>
      </c>
      <c r="I61" s="27">
        <f t="shared" si="36"/>
        <v>79.17</v>
      </c>
      <c r="J61" s="27">
        <f t="shared" si="36"/>
        <v>40</v>
      </c>
      <c r="K61" s="27">
        <f t="shared" si="36"/>
        <v>112.5</v>
      </c>
      <c r="L61" s="27">
        <f t="shared" si="36"/>
        <v>61.67</v>
      </c>
      <c r="M61" s="27">
        <f t="shared" si="36"/>
        <v>72.5</v>
      </c>
      <c r="N61" s="27">
        <f t="shared" si="36"/>
        <v>79.17</v>
      </c>
      <c r="O61" s="27">
        <f t="shared" si="36"/>
        <v>104.17</v>
      </c>
      <c r="P61" s="4">
        <f t="shared" si="36"/>
        <v>5851.85</v>
      </c>
      <c r="Q61" s="27">
        <f t="shared" si="36"/>
        <v>92.5</v>
      </c>
      <c r="R61" s="27">
        <f t="shared" si="36"/>
        <v>30.83</v>
      </c>
      <c r="S61" s="27">
        <f t="shared" si="36"/>
        <v>123.33</v>
      </c>
      <c r="T61" s="27">
        <f t="shared" si="36"/>
        <v>60.83</v>
      </c>
      <c r="U61" s="27">
        <f t="shared" si="36"/>
        <v>50</v>
      </c>
      <c r="V61" s="27">
        <f t="shared" si="36"/>
        <v>65.83</v>
      </c>
      <c r="W61" s="27">
        <f t="shared" si="36"/>
        <v>107.5</v>
      </c>
      <c r="X61" s="27">
        <f t="shared" si="36"/>
        <v>95.83</v>
      </c>
      <c r="Y61" s="27">
        <f t="shared" si="36"/>
        <v>82.5</v>
      </c>
      <c r="Z61" s="27">
        <f t="shared" si="36"/>
        <v>57.5</v>
      </c>
      <c r="AA61" s="27">
        <f t="shared" si="36"/>
        <v>69.17</v>
      </c>
      <c r="AB61" s="27">
        <f t="shared" si="36"/>
        <v>33.33</v>
      </c>
      <c r="AC61" s="4">
        <f t="shared" si="36"/>
        <v>869.15</v>
      </c>
      <c r="AD61" s="27">
        <f t="shared" si="36"/>
        <v>38.33</v>
      </c>
      <c r="AE61" s="27">
        <f t="shared" si="36"/>
        <v>100.83</v>
      </c>
      <c r="AF61" s="27">
        <f t="shared" si="36"/>
        <v>118.33</v>
      </c>
      <c r="AG61" s="27">
        <f t="shared" si="36"/>
        <v>95.83</v>
      </c>
      <c r="AH61" s="27">
        <f t="shared" si="36"/>
        <v>54.17</v>
      </c>
      <c r="AI61" s="27">
        <f t="shared" si="36"/>
        <v>72.5</v>
      </c>
      <c r="AJ61" s="27">
        <f t="shared" ref="AJ61:BP61" si="37">AJ14</f>
        <v>31.67</v>
      </c>
      <c r="AK61" s="27">
        <f t="shared" si="37"/>
        <v>110.83</v>
      </c>
      <c r="AL61" s="27">
        <f t="shared" si="37"/>
        <v>95.83</v>
      </c>
      <c r="AM61" s="27">
        <f t="shared" si="37"/>
        <v>78.33</v>
      </c>
      <c r="AN61" s="27">
        <f t="shared" si="37"/>
        <v>76.67</v>
      </c>
      <c r="AO61" s="27">
        <f t="shared" si="37"/>
        <v>61.67</v>
      </c>
      <c r="AP61" s="4">
        <f t="shared" si="37"/>
        <v>934.99</v>
      </c>
      <c r="AQ61" s="28">
        <f t="shared" si="37"/>
        <v>0</v>
      </c>
      <c r="AR61" s="27">
        <f t="shared" si="37"/>
        <v>0</v>
      </c>
      <c r="AS61" s="27">
        <f t="shared" si="37"/>
        <v>0</v>
      </c>
      <c r="AT61" s="27">
        <f t="shared" si="37"/>
        <v>0</v>
      </c>
      <c r="AU61" s="27">
        <f t="shared" si="37"/>
        <v>0</v>
      </c>
      <c r="AV61" s="27">
        <f t="shared" si="37"/>
        <v>0</v>
      </c>
      <c r="AW61" s="27">
        <f t="shared" si="37"/>
        <v>0</v>
      </c>
      <c r="AX61" s="27">
        <f t="shared" si="37"/>
        <v>0</v>
      </c>
      <c r="AY61" s="27">
        <f t="shared" si="37"/>
        <v>0</v>
      </c>
      <c r="AZ61" s="27">
        <f t="shared" si="37"/>
        <v>0</v>
      </c>
      <c r="BA61" s="27">
        <f t="shared" si="37"/>
        <v>0</v>
      </c>
      <c r="BB61" s="27">
        <f t="shared" si="37"/>
        <v>0</v>
      </c>
      <c r="BC61" s="4">
        <f t="shared" si="37"/>
        <v>0</v>
      </c>
      <c r="BD61" s="27">
        <f t="shared" si="37"/>
        <v>0</v>
      </c>
      <c r="BE61" s="27">
        <f t="shared" si="37"/>
        <v>0</v>
      </c>
      <c r="BF61" s="27">
        <f t="shared" si="37"/>
        <v>0</v>
      </c>
      <c r="BG61" s="27">
        <f t="shared" si="37"/>
        <v>0</v>
      </c>
      <c r="BH61" s="27">
        <f t="shared" si="37"/>
        <v>0</v>
      </c>
      <c r="BI61" s="27">
        <f t="shared" si="37"/>
        <v>0</v>
      </c>
      <c r="BJ61" s="27">
        <f t="shared" si="37"/>
        <v>0</v>
      </c>
      <c r="BK61" s="27">
        <f t="shared" si="37"/>
        <v>0</v>
      </c>
      <c r="BL61" s="27">
        <f t="shared" si="37"/>
        <v>0</v>
      </c>
      <c r="BM61" s="27">
        <f t="shared" si="37"/>
        <v>0</v>
      </c>
      <c r="BN61" s="27">
        <f t="shared" si="37"/>
        <v>0</v>
      </c>
      <c r="BO61" s="27">
        <f t="shared" si="37"/>
        <v>0</v>
      </c>
      <c r="BP61" s="4">
        <f t="shared" si="37"/>
        <v>0</v>
      </c>
    </row>
    <row r="62" spans="1:68" customFormat="1" x14ac:dyDescent="0.25">
      <c r="A62" t="s">
        <v>52</v>
      </c>
      <c r="B62" s="2" t="s">
        <v>40</v>
      </c>
      <c r="D62" s="27">
        <f t="shared" ref="D62:AI62" si="38">D23</f>
        <v>0</v>
      </c>
      <c r="E62" s="27">
        <f t="shared" si="38"/>
        <v>-4941.2196000000004</v>
      </c>
      <c r="F62" s="27">
        <f t="shared" si="38"/>
        <v>-3078.0001200000002</v>
      </c>
      <c r="G62" s="27">
        <f t="shared" si="38"/>
        <v>-3424.8131600000002</v>
      </c>
      <c r="H62" s="27">
        <f t="shared" si="38"/>
        <v>-1058.51368</v>
      </c>
      <c r="I62" s="27">
        <f t="shared" si="38"/>
        <v>-5309.4542000000001</v>
      </c>
      <c r="J62" s="27">
        <f t="shared" si="38"/>
        <v>-1814.8212799999999</v>
      </c>
      <c r="K62" s="27">
        <f t="shared" si="38"/>
        <v>-5988.4116000000004</v>
      </c>
      <c r="L62" s="27">
        <f t="shared" si="38"/>
        <v>-1248.9721199999999</v>
      </c>
      <c r="M62" s="27">
        <f t="shared" si="38"/>
        <v>-6764.7426400000004</v>
      </c>
      <c r="N62" s="27">
        <f t="shared" si="38"/>
        <v>-7389.2189600000002</v>
      </c>
      <c r="O62" s="27">
        <f t="shared" si="38"/>
        <v>-6556.1304799999998</v>
      </c>
      <c r="P62" s="4">
        <f t="shared" si="38"/>
        <v>-47574.297839999999</v>
      </c>
      <c r="Q62" s="27">
        <f t="shared" si="38"/>
        <v>-2186.11832</v>
      </c>
      <c r="R62" s="27">
        <f t="shared" si="38"/>
        <v>-8722.9057599999996</v>
      </c>
      <c r="S62" s="27">
        <f t="shared" si="38"/>
        <v>-1925.93896</v>
      </c>
      <c r="T62" s="27">
        <f t="shared" si="38"/>
        <v>-7470.5508</v>
      </c>
      <c r="U62" s="27">
        <f t="shared" si="38"/>
        <v>-6483.9383200000002</v>
      </c>
      <c r="V62" s="27">
        <f t="shared" si="38"/>
        <v>-1930.87004</v>
      </c>
      <c r="W62" s="27">
        <f t="shared" si="38"/>
        <v>-3569.6218800000001</v>
      </c>
      <c r="X62" s="27">
        <f t="shared" si="38"/>
        <v>-6480.0271599999996</v>
      </c>
      <c r="Y62" s="27">
        <f t="shared" si="38"/>
        <v>-934.08744000000002</v>
      </c>
      <c r="Z62" s="27">
        <f t="shared" si="38"/>
        <v>-7660.7893999999997</v>
      </c>
      <c r="AA62" s="27">
        <f t="shared" si="38"/>
        <v>-1790.8607999999999</v>
      </c>
      <c r="AB62" s="27">
        <f t="shared" si="38"/>
        <v>-6135.5168400000002</v>
      </c>
      <c r="AC62" s="4">
        <f t="shared" si="38"/>
        <v>-55291.225720000002</v>
      </c>
      <c r="AD62" s="27">
        <f t="shared" si="38"/>
        <v>-8175.58788</v>
      </c>
      <c r="AE62" s="27">
        <f t="shared" si="38"/>
        <v>-466.33927999999997</v>
      </c>
      <c r="AF62" s="27">
        <f t="shared" si="38"/>
        <v>-2973.5293999999999</v>
      </c>
      <c r="AG62" s="27">
        <f t="shared" si="38"/>
        <v>-8106.1789600000002</v>
      </c>
      <c r="AH62" s="27">
        <f t="shared" si="38"/>
        <v>-5137.4703600000003</v>
      </c>
      <c r="AI62" s="27">
        <f t="shared" si="38"/>
        <v>-2498.6486799999998</v>
      </c>
      <c r="AJ62" s="27">
        <f t="shared" ref="AJ62:BP62" si="39">AJ23</f>
        <v>-2208.6407599999998</v>
      </c>
      <c r="AK62" s="27">
        <f t="shared" si="39"/>
        <v>-4859.4622799999997</v>
      </c>
      <c r="AL62" s="27">
        <f t="shared" si="39"/>
        <v>-2204.5541199999998</v>
      </c>
      <c r="AM62" s="27">
        <f t="shared" si="39"/>
        <v>-6395.3635199999999</v>
      </c>
      <c r="AN62" s="27">
        <f t="shared" si="39"/>
        <v>-3332.0012000000002</v>
      </c>
      <c r="AO62" s="27">
        <f t="shared" si="39"/>
        <v>-14317.0926</v>
      </c>
      <c r="AP62" s="4">
        <f t="shared" si="39"/>
        <v>-60674.86903999999</v>
      </c>
      <c r="AQ62" s="28">
        <f t="shared" si="39"/>
        <v>0</v>
      </c>
      <c r="AR62" s="27">
        <f t="shared" si="39"/>
        <v>0</v>
      </c>
      <c r="AS62" s="27">
        <f t="shared" si="39"/>
        <v>0</v>
      </c>
      <c r="AT62" s="27">
        <f t="shared" si="39"/>
        <v>0</v>
      </c>
      <c r="AU62" s="27">
        <f t="shared" si="39"/>
        <v>0</v>
      </c>
      <c r="AV62" s="27">
        <f t="shared" si="39"/>
        <v>0</v>
      </c>
      <c r="AW62" s="27">
        <f t="shared" si="39"/>
        <v>0</v>
      </c>
      <c r="AX62" s="27">
        <f t="shared" si="39"/>
        <v>0</v>
      </c>
      <c r="AY62" s="27">
        <f t="shared" si="39"/>
        <v>0</v>
      </c>
      <c r="AZ62" s="27">
        <f t="shared" si="39"/>
        <v>0</v>
      </c>
      <c r="BA62" s="27">
        <f t="shared" si="39"/>
        <v>0</v>
      </c>
      <c r="BB62" s="27">
        <f t="shared" si="39"/>
        <v>0</v>
      </c>
      <c r="BC62" s="4">
        <f t="shared" si="39"/>
        <v>0</v>
      </c>
      <c r="BD62" s="27">
        <f t="shared" si="39"/>
        <v>0</v>
      </c>
      <c r="BE62" s="27">
        <f t="shared" si="39"/>
        <v>0</v>
      </c>
      <c r="BF62" s="27">
        <f t="shared" si="39"/>
        <v>0</v>
      </c>
      <c r="BG62" s="27">
        <f t="shared" si="39"/>
        <v>0</v>
      </c>
      <c r="BH62" s="27">
        <f t="shared" si="39"/>
        <v>0</v>
      </c>
      <c r="BI62" s="27">
        <f t="shared" si="39"/>
        <v>0</v>
      </c>
      <c r="BJ62" s="27">
        <f t="shared" si="39"/>
        <v>0</v>
      </c>
      <c r="BK62" s="27">
        <f t="shared" si="39"/>
        <v>0</v>
      </c>
      <c r="BL62" s="27">
        <f t="shared" si="39"/>
        <v>0</v>
      </c>
      <c r="BM62" s="27">
        <f t="shared" si="39"/>
        <v>0</v>
      </c>
      <c r="BN62" s="27">
        <f t="shared" si="39"/>
        <v>0</v>
      </c>
      <c r="BO62" s="27">
        <f t="shared" si="39"/>
        <v>0</v>
      </c>
      <c r="BP62" s="4">
        <f t="shared" si="39"/>
        <v>0</v>
      </c>
    </row>
    <row r="63" spans="1:68" customFormat="1" x14ac:dyDescent="0.25">
      <c r="A63" t="s">
        <v>61</v>
      </c>
      <c r="B63" s="2" t="s">
        <v>53</v>
      </c>
      <c r="D63" s="27">
        <f t="shared" ref="D63:AI63" si="40">D30</f>
        <v>0</v>
      </c>
      <c r="E63" s="27">
        <f t="shared" si="40"/>
        <v>-2547.6</v>
      </c>
      <c r="F63" s="27">
        <f t="shared" si="40"/>
        <v>-2508</v>
      </c>
      <c r="G63" s="27">
        <f t="shared" si="40"/>
        <v>-2466.1999999999998</v>
      </c>
      <c r="H63" s="27">
        <f t="shared" si="40"/>
        <v>-2461.8000000000002</v>
      </c>
      <c r="I63" s="27">
        <f t="shared" si="40"/>
        <v>-2697.2</v>
      </c>
      <c r="J63" s="27">
        <f t="shared" si="40"/>
        <v>-2655.4</v>
      </c>
      <c r="K63" s="27">
        <f t="shared" si="40"/>
        <v>-2578.4</v>
      </c>
      <c r="L63" s="27">
        <f t="shared" si="40"/>
        <v>-2813.8</v>
      </c>
      <c r="M63" s="27">
        <f t="shared" si="40"/>
        <v>-2774.2</v>
      </c>
      <c r="N63" s="27">
        <f t="shared" si="40"/>
        <v>-2659.8</v>
      </c>
      <c r="O63" s="27">
        <f t="shared" si="40"/>
        <v>-2615.8000000000002</v>
      </c>
      <c r="P63" s="4">
        <f t="shared" si="40"/>
        <v>-28778.2</v>
      </c>
      <c r="Q63" s="27">
        <f t="shared" si="40"/>
        <v>-2563</v>
      </c>
      <c r="R63" s="27">
        <f t="shared" si="40"/>
        <v>-2723.6</v>
      </c>
      <c r="S63" s="27">
        <f t="shared" si="40"/>
        <v>-2767.6</v>
      </c>
      <c r="T63" s="27">
        <f t="shared" si="40"/>
        <v>-2602.6</v>
      </c>
      <c r="U63" s="27">
        <f t="shared" si="40"/>
        <v>-2624.6</v>
      </c>
      <c r="V63" s="27">
        <f t="shared" si="40"/>
        <v>-2499.1999999999998</v>
      </c>
      <c r="W63" s="27">
        <f t="shared" si="40"/>
        <v>-2664.2</v>
      </c>
      <c r="X63" s="27">
        <f t="shared" si="40"/>
        <v>-2717</v>
      </c>
      <c r="Y63" s="27">
        <f t="shared" si="40"/>
        <v>-2633.4</v>
      </c>
      <c r="Z63" s="27">
        <f t="shared" si="40"/>
        <v>-2589.4</v>
      </c>
      <c r="AA63" s="27">
        <f t="shared" si="40"/>
        <v>-2536.6</v>
      </c>
      <c r="AB63" s="27">
        <f t="shared" si="40"/>
        <v>-2422.1999999999998</v>
      </c>
      <c r="AC63" s="4">
        <f t="shared" si="40"/>
        <v>-31343.4</v>
      </c>
      <c r="AD63" s="27">
        <f t="shared" si="40"/>
        <v>-2466.1999999999998</v>
      </c>
      <c r="AE63" s="27">
        <f t="shared" si="40"/>
        <v>-2576.1999999999998</v>
      </c>
      <c r="AF63" s="27">
        <f t="shared" si="40"/>
        <v>-2598.1999999999998</v>
      </c>
      <c r="AG63" s="27">
        <f t="shared" si="40"/>
        <v>-2800.6</v>
      </c>
      <c r="AH63" s="27">
        <f t="shared" si="40"/>
        <v>-2690.6</v>
      </c>
      <c r="AI63" s="27">
        <f t="shared" si="40"/>
        <v>-2743.4</v>
      </c>
      <c r="AJ63" s="27">
        <f t="shared" ref="AJ63:BP63" si="41">AJ30</f>
        <v>-2827</v>
      </c>
      <c r="AK63" s="27">
        <f t="shared" si="41"/>
        <v>-2783</v>
      </c>
      <c r="AL63" s="27">
        <f t="shared" si="41"/>
        <v>-2730.2</v>
      </c>
      <c r="AM63" s="27">
        <f t="shared" si="41"/>
        <v>-2615.8000000000002</v>
      </c>
      <c r="AN63" s="27">
        <f t="shared" si="41"/>
        <v>-2659.8</v>
      </c>
      <c r="AO63" s="27">
        <f t="shared" si="41"/>
        <v>-2769.8</v>
      </c>
      <c r="AP63" s="4">
        <f t="shared" si="41"/>
        <v>-32260.799999999999</v>
      </c>
      <c r="AQ63" s="28">
        <f t="shared" si="41"/>
        <v>0</v>
      </c>
      <c r="AR63" s="27">
        <f t="shared" si="41"/>
        <v>0</v>
      </c>
      <c r="AS63" s="27">
        <f t="shared" si="41"/>
        <v>0</v>
      </c>
      <c r="AT63" s="27">
        <f t="shared" si="41"/>
        <v>0</v>
      </c>
      <c r="AU63" s="27">
        <f t="shared" si="41"/>
        <v>0</v>
      </c>
      <c r="AV63" s="27">
        <f t="shared" si="41"/>
        <v>0</v>
      </c>
      <c r="AW63" s="27">
        <f t="shared" si="41"/>
        <v>0</v>
      </c>
      <c r="AX63" s="27">
        <f t="shared" si="41"/>
        <v>0</v>
      </c>
      <c r="AY63" s="27">
        <f t="shared" si="41"/>
        <v>0</v>
      </c>
      <c r="AZ63" s="27">
        <f t="shared" si="41"/>
        <v>0</v>
      </c>
      <c r="BA63" s="27">
        <f t="shared" si="41"/>
        <v>0</v>
      </c>
      <c r="BB63" s="27">
        <f t="shared" si="41"/>
        <v>0</v>
      </c>
      <c r="BC63" s="4">
        <f t="shared" si="41"/>
        <v>0</v>
      </c>
      <c r="BD63" s="27">
        <f t="shared" si="41"/>
        <v>0</v>
      </c>
      <c r="BE63" s="27">
        <f t="shared" si="41"/>
        <v>0</v>
      </c>
      <c r="BF63" s="27">
        <f t="shared" si="41"/>
        <v>0</v>
      </c>
      <c r="BG63" s="27">
        <f t="shared" si="41"/>
        <v>0</v>
      </c>
      <c r="BH63" s="27">
        <f t="shared" si="41"/>
        <v>0</v>
      </c>
      <c r="BI63" s="27">
        <f t="shared" si="41"/>
        <v>0</v>
      </c>
      <c r="BJ63" s="27">
        <f t="shared" si="41"/>
        <v>0</v>
      </c>
      <c r="BK63" s="27">
        <f t="shared" si="41"/>
        <v>0</v>
      </c>
      <c r="BL63" s="27">
        <f t="shared" si="41"/>
        <v>0</v>
      </c>
      <c r="BM63" s="27">
        <f t="shared" si="41"/>
        <v>0</v>
      </c>
      <c r="BN63" s="27">
        <f t="shared" si="41"/>
        <v>0</v>
      </c>
      <c r="BO63" s="27">
        <f t="shared" si="41"/>
        <v>0</v>
      </c>
      <c r="BP63" s="4">
        <f t="shared" si="41"/>
        <v>0</v>
      </c>
    </row>
    <row r="64" spans="1:68" customFormat="1" x14ac:dyDescent="0.25">
      <c r="A64" t="s">
        <v>78</v>
      </c>
      <c r="B64" s="2" t="s">
        <v>62</v>
      </c>
      <c r="D64" s="27">
        <f t="shared" ref="D64:AI64" si="42">D41</f>
        <v>0</v>
      </c>
      <c r="E64" s="27">
        <f t="shared" si="42"/>
        <v>-322.5</v>
      </c>
      <c r="F64" s="27">
        <f t="shared" si="42"/>
        <v>-235.17000000000002</v>
      </c>
      <c r="G64" s="27">
        <f t="shared" si="42"/>
        <v>-703.34</v>
      </c>
      <c r="H64" s="27">
        <f t="shared" si="42"/>
        <v>-280.16999999999996</v>
      </c>
      <c r="I64" s="27">
        <f t="shared" si="42"/>
        <v>-192.82999999999998</v>
      </c>
      <c r="J64" s="27">
        <f t="shared" si="42"/>
        <v>-410.33</v>
      </c>
      <c r="K64" s="27">
        <f t="shared" si="42"/>
        <v>-142.5</v>
      </c>
      <c r="L64" s="27">
        <f t="shared" si="42"/>
        <v>-240.17000000000002</v>
      </c>
      <c r="M64" s="27">
        <f t="shared" si="42"/>
        <v>-757</v>
      </c>
      <c r="N64" s="27">
        <f t="shared" si="42"/>
        <v>-150.17000000000002</v>
      </c>
      <c r="O64" s="27">
        <f t="shared" si="42"/>
        <v>-132.5</v>
      </c>
      <c r="P64" s="4">
        <f t="shared" si="42"/>
        <v>-3566.6800000000003</v>
      </c>
      <c r="Q64" s="27">
        <f t="shared" si="42"/>
        <v>-975.84</v>
      </c>
      <c r="R64" s="27">
        <f t="shared" si="42"/>
        <v>-127</v>
      </c>
      <c r="S64" s="27">
        <f t="shared" si="42"/>
        <v>-162</v>
      </c>
      <c r="T64" s="27">
        <f t="shared" si="42"/>
        <v>-790.84</v>
      </c>
      <c r="U64" s="27">
        <f t="shared" si="42"/>
        <v>-224.17000000000002</v>
      </c>
      <c r="V64" s="27">
        <f t="shared" si="42"/>
        <v>-278</v>
      </c>
      <c r="W64" s="27">
        <f t="shared" si="42"/>
        <v>-600.5</v>
      </c>
      <c r="X64" s="27">
        <f t="shared" si="42"/>
        <v>-160</v>
      </c>
      <c r="Y64" s="27">
        <f t="shared" si="42"/>
        <v>-236.17000000000002</v>
      </c>
      <c r="Z64" s="27">
        <f t="shared" si="42"/>
        <v>-772.83</v>
      </c>
      <c r="AA64" s="27">
        <f t="shared" si="42"/>
        <v>-215.17000000000002</v>
      </c>
      <c r="AB64" s="27">
        <f t="shared" si="42"/>
        <v>-155</v>
      </c>
      <c r="AC64" s="4">
        <f t="shared" si="42"/>
        <v>-4697.5200000000004</v>
      </c>
      <c r="AD64" s="27">
        <f t="shared" si="42"/>
        <v>-978.83</v>
      </c>
      <c r="AE64" s="27">
        <f t="shared" si="42"/>
        <v>-274.66999999999996</v>
      </c>
      <c r="AF64" s="27">
        <f t="shared" si="42"/>
        <v>-171.82999999999998</v>
      </c>
      <c r="AG64" s="27">
        <f t="shared" si="42"/>
        <v>-549.16</v>
      </c>
      <c r="AH64" s="27">
        <f t="shared" si="42"/>
        <v>-168.67000000000002</v>
      </c>
      <c r="AI64" s="27">
        <f t="shared" si="42"/>
        <v>-108</v>
      </c>
      <c r="AJ64" s="27">
        <f t="shared" ref="AJ64:BP64" si="43">AJ41</f>
        <v>-643.16</v>
      </c>
      <c r="AK64" s="27">
        <f t="shared" si="43"/>
        <v>-120</v>
      </c>
      <c r="AL64" s="27">
        <f t="shared" si="43"/>
        <v>-208</v>
      </c>
      <c r="AM64" s="27">
        <f t="shared" si="43"/>
        <v>-659.17</v>
      </c>
      <c r="AN64" s="27">
        <f t="shared" si="43"/>
        <v>-200.82999999999998</v>
      </c>
      <c r="AO64" s="27">
        <f t="shared" si="43"/>
        <v>-52.5</v>
      </c>
      <c r="AP64" s="4">
        <f t="shared" si="43"/>
        <v>-4134.82</v>
      </c>
      <c r="AQ64" s="28">
        <f t="shared" si="43"/>
        <v>0</v>
      </c>
      <c r="AR64" s="27">
        <f t="shared" si="43"/>
        <v>0</v>
      </c>
      <c r="AS64" s="27">
        <f t="shared" si="43"/>
        <v>0</v>
      </c>
      <c r="AT64" s="27">
        <f t="shared" si="43"/>
        <v>0</v>
      </c>
      <c r="AU64" s="27">
        <f t="shared" si="43"/>
        <v>0</v>
      </c>
      <c r="AV64" s="27">
        <f t="shared" si="43"/>
        <v>0</v>
      </c>
      <c r="AW64" s="27">
        <f t="shared" si="43"/>
        <v>0</v>
      </c>
      <c r="AX64" s="27">
        <f t="shared" si="43"/>
        <v>0</v>
      </c>
      <c r="AY64" s="27">
        <f t="shared" si="43"/>
        <v>0</v>
      </c>
      <c r="AZ64" s="27">
        <f t="shared" si="43"/>
        <v>0</v>
      </c>
      <c r="BA64" s="27">
        <f t="shared" si="43"/>
        <v>0</v>
      </c>
      <c r="BB64" s="27">
        <f t="shared" si="43"/>
        <v>0</v>
      </c>
      <c r="BC64" s="4">
        <f t="shared" si="43"/>
        <v>0</v>
      </c>
      <c r="BD64" s="27">
        <f t="shared" si="43"/>
        <v>0</v>
      </c>
      <c r="BE64" s="27">
        <f t="shared" si="43"/>
        <v>0</v>
      </c>
      <c r="BF64" s="27">
        <f t="shared" si="43"/>
        <v>0</v>
      </c>
      <c r="BG64" s="27">
        <f t="shared" si="43"/>
        <v>0</v>
      </c>
      <c r="BH64" s="27">
        <f t="shared" si="43"/>
        <v>0</v>
      </c>
      <c r="BI64" s="27">
        <f t="shared" si="43"/>
        <v>0</v>
      </c>
      <c r="BJ64" s="27">
        <f t="shared" si="43"/>
        <v>0</v>
      </c>
      <c r="BK64" s="27">
        <f t="shared" si="43"/>
        <v>0</v>
      </c>
      <c r="BL64" s="27">
        <f t="shared" si="43"/>
        <v>0</v>
      </c>
      <c r="BM64" s="27">
        <f t="shared" si="43"/>
        <v>0</v>
      </c>
      <c r="BN64" s="27">
        <f t="shared" si="43"/>
        <v>0</v>
      </c>
      <c r="BO64" s="27">
        <f t="shared" si="43"/>
        <v>0</v>
      </c>
      <c r="BP64" s="4">
        <f t="shared" si="43"/>
        <v>0</v>
      </c>
    </row>
    <row r="65" spans="1:68" customFormat="1" x14ac:dyDescent="0.25">
      <c r="A65" t="s">
        <v>86</v>
      </c>
      <c r="B65" s="2" t="s">
        <v>79</v>
      </c>
      <c r="D65" s="27">
        <f t="shared" ref="D65:AI65" si="44">D47</f>
        <v>0</v>
      </c>
      <c r="E65" s="27">
        <f t="shared" si="44"/>
        <v>0</v>
      </c>
      <c r="F65" s="27">
        <f t="shared" si="44"/>
        <v>0</v>
      </c>
      <c r="G65" s="27">
        <f t="shared" si="44"/>
        <v>0</v>
      </c>
      <c r="H65" s="27">
        <f t="shared" si="44"/>
        <v>0</v>
      </c>
      <c r="I65" s="27">
        <f t="shared" si="44"/>
        <v>0</v>
      </c>
      <c r="J65" s="27">
        <f t="shared" si="44"/>
        <v>0</v>
      </c>
      <c r="K65" s="27">
        <f t="shared" si="44"/>
        <v>0</v>
      </c>
      <c r="L65" s="27">
        <f t="shared" si="44"/>
        <v>0</v>
      </c>
      <c r="M65" s="27">
        <f t="shared" si="44"/>
        <v>0</v>
      </c>
      <c r="N65" s="27">
        <f t="shared" si="44"/>
        <v>0</v>
      </c>
      <c r="O65" s="27">
        <f t="shared" si="44"/>
        <v>4000</v>
      </c>
      <c r="P65" s="4">
        <f t="shared" si="44"/>
        <v>4000</v>
      </c>
      <c r="Q65" s="27">
        <f t="shared" si="44"/>
        <v>0</v>
      </c>
      <c r="R65" s="27">
        <f t="shared" si="44"/>
        <v>0</v>
      </c>
      <c r="S65" s="27">
        <f t="shared" si="44"/>
        <v>0</v>
      </c>
      <c r="T65" s="27">
        <f t="shared" si="44"/>
        <v>0</v>
      </c>
      <c r="U65" s="27">
        <f t="shared" si="44"/>
        <v>0</v>
      </c>
      <c r="V65" s="27">
        <f t="shared" si="44"/>
        <v>0</v>
      </c>
      <c r="W65" s="27">
        <f t="shared" si="44"/>
        <v>0</v>
      </c>
      <c r="X65" s="27">
        <f t="shared" si="44"/>
        <v>0</v>
      </c>
      <c r="Y65" s="27">
        <f t="shared" si="44"/>
        <v>0</v>
      </c>
      <c r="Z65" s="27">
        <f t="shared" si="44"/>
        <v>0</v>
      </c>
      <c r="AA65" s="27">
        <f t="shared" si="44"/>
        <v>0</v>
      </c>
      <c r="AB65" s="27">
        <f t="shared" si="44"/>
        <v>-1000</v>
      </c>
      <c r="AC65" s="4">
        <f t="shared" si="44"/>
        <v>-1000</v>
      </c>
      <c r="AD65" s="27">
        <f t="shared" si="44"/>
        <v>0</v>
      </c>
      <c r="AE65" s="27">
        <f t="shared" si="44"/>
        <v>0</v>
      </c>
      <c r="AF65" s="27">
        <f t="shared" si="44"/>
        <v>0</v>
      </c>
      <c r="AG65" s="27">
        <f t="shared" si="44"/>
        <v>0</v>
      </c>
      <c r="AH65" s="27">
        <f t="shared" si="44"/>
        <v>0</v>
      </c>
      <c r="AI65" s="27">
        <f t="shared" si="44"/>
        <v>0</v>
      </c>
      <c r="AJ65" s="27">
        <f t="shared" ref="AJ65:BP65" si="45">AJ47</f>
        <v>0</v>
      </c>
      <c r="AK65" s="27">
        <f t="shared" si="45"/>
        <v>0</v>
      </c>
      <c r="AL65" s="27">
        <f t="shared" si="45"/>
        <v>0</v>
      </c>
      <c r="AM65" s="27">
        <f t="shared" si="45"/>
        <v>0</v>
      </c>
      <c r="AN65" s="27">
        <f t="shared" si="45"/>
        <v>0</v>
      </c>
      <c r="AO65" s="27">
        <f t="shared" si="45"/>
        <v>-1000</v>
      </c>
      <c r="AP65" s="4">
        <f t="shared" si="45"/>
        <v>-1000</v>
      </c>
      <c r="AQ65" s="28">
        <f t="shared" si="45"/>
        <v>0</v>
      </c>
      <c r="AR65" s="27">
        <f t="shared" si="45"/>
        <v>0</v>
      </c>
      <c r="AS65" s="27">
        <f t="shared" si="45"/>
        <v>0</v>
      </c>
      <c r="AT65" s="27">
        <f t="shared" si="45"/>
        <v>0</v>
      </c>
      <c r="AU65" s="27">
        <f t="shared" si="45"/>
        <v>0</v>
      </c>
      <c r="AV65" s="27">
        <f t="shared" si="45"/>
        <v>0</v>
      </c>
      <c r="AW65" s="27">
        <f t="shared" si="45"/>
        <v>0</v>
      </c>
      <c r="AX65" s="27">
        <f t="shared" si="45"/>
        <v>0</v>
      </c>
      <c r="AY65" s="27">
        <f t="shared" si="45"/>
        <v>0</v>
      </c>
      <c r="AZ65" s="27">
        <f t="shared" si="45"/>
        <v>0</v>
      </c>
      <c r="BA65" s="27">
        <f t="shared" si="45"/>
        <v>0</v>
      </c>
      <c r="BB65" s="27">
        <f t="shared" si="45"/>
        <v>0</v>
      </c>
      <c r="BC65" s="4">
        <f t="shared" si="45"/>
        <v>0</v>
      </c>
      <c r="BD65" s="27">
        <f t="shared" si="45"/>
        <v>0</v>
      </c>
      <c r="BE65" s="27">
        <f t="shared" si="45"/>
        <v>0</v>
      </c>
      <c r="BF65" s="27">
        <f t="shared" si="45"/>
        <v>0</v>
      </c>
      <c r="BG65" s="27">
        <f t="shared" si="45"/>
        <v>0</v>
      </c>
      <c r="BH65" s="27">
        <f t="shared" si="45"/>
        <v>0</v>
      </c>
      <c r="BI65" s="27">
        <f t="shared" si="45"/>
        <v>0</v>
      </c>
      <c r="BJ65" s="27">
        <f t="shared" si="45"/>
        <v>0</v>
      </c>
      <c r="BK65" s="27">
        <f t="shared" si="45"/>
        <v>0</v>
      </c>
      <c r="BL65" s="27">
        <f t="shared" si="45"/>
        <v>0</v>
      </c>
      <c r="BM65" s="27">
        <f t="shared" si="45"/>
        <v>0</v>
      </c>
      <c r="BN65" s="27">
        <f t="shared" si="45"/>
        <v>0</v>
      </c>
      <c r="BO65" s="27">
        <f t="shared" si="45"/>
        <v>0</v>
      </c>
      <c r="BP65" s="4">
        <f t="shared" si="45"/>
        <v>0</v>
      </c>
    </row>
    <row r="66" spans="1:68" customFormat="1" x14ac:dyDescent="0.25">
      <c r="A66" t="s">
        <v>89</v>
      </c>
      <c r="B66" s="2" t="s">
        <v>87</v>
      </c>
      <c r="D66" s="27">
        <f t="shared" ref="D66:AI66" si="46">D51</f>
        <v>0</v>
      </c>
      <c r="E66" s="27">
        <f t="shared" si="46"/>
        <v>0</v>
      </c>
      <c r="F66" s="27">
        <f t="shared" si="46"/>
        <v>0</v>
      </c>
      <c r="G66" s="27">
        <f t="shared" si="46"/>
        <v>0</v>
      </c>
      <c r="H66" s="27">
        <f t="shared" si="46"/>
        <v>0</v>
      </c>
      <c r="I66" s="27">
        <f t="shared" si="46"/>
        <v>0</v>
      </c>
      <c r="J66" s="27">
        <f t="shared" si="46"/>
        <v>0</v>
      </c>
      <c r="K66" s="27">
        <f t="shared" si="46"/>
        <v>0</v>
      </c>
      <c r="L66" s="27">
        <f t="shared" si="46"/>
        <v>0</v>
      </c>
      <c r="M66" s="27">
        <f t="shared" si="46"/>
        <v>0</v>
      </c>
      <c r="N66" s="27">
        <f t="shared" si="46"/>
        <v>0</v>
      </c>
      <c r="O66" s="27">
        <f t="shared" si="46"/>
        <v>0</v>
      </c>
      <c r="P66" s="4">
        <f t="shared" si="46"/>
        <v>0</v>
      </c>
      <c r="Q66" s="27">
        <f t="shared" si="46"/>
        <v>0</v>
      </c>
      <c r="R66" s="27">
        <f t="shared" si="46"/>
        <v>0</v>
      </c>
      <c r="S66" s="27">
        <f t="shared" si="46"/>
        <v>0</v>
      </c>
      <c r="T66" s="27">
        <f t="shared" si="46"/>
        <v>0</v>
      </c>
      <c r="U66" s="27">
        <f t="shared" si="46"/>
        <v>0</v>
      </c>
      <c r="V66" s="27">
        <f t="shared" si="46"/>
        <v>0</v>
      </c>
      <c r="W66" s="27">
        <f t="shared" si="46"/>
        <v>0</v>
      </c>
      <c r="X66" s="27">
        <f t="shared" si="46"/>
        <v>0</v>
      </c>
      <c r="Y66" s="27">
        <f t="shared" si="46"/>
        <v>0</v>
      </c>
      <c r="Z66" s="27">
        <f t="shared" si="46"/>
        <v>0</v>
      </c>
      <c r="AA66" s="27">
        <f t="shared" si="46"/>
        <v>0</v>
      </c>
      <c r="AB66" s="27">
        <f t="shared" si="46"/>
        <v>0</v>
      </c>
      <c r="AC66" s="4">
        <f t="shared" si="46"/>
        <v>0</v>
      </c>
      <c r="AD66" s="27">
        <f t="shared" si="46"/>
        <v>0</v>
      </c>
      <c r="AE66" s="27">
        <f t="shared" si="46"/>
        <v>0</v>
      </c>
      <c r="AF66" s="27">
        <f t="shared" si="46"/>
        <v>0</v>
      </c>
      <c r="AG66" s="27">
        <f t="shared" si="46"/>
        <v>0</v>
      </c>
      <c r="AH66" s="27">
        <f t="shared" si="46"/>
        <v>0</v>
      </c>
      <c r="AI66" s="27">
        <f t="shared" si="46"/>
        <v>0</v>
      </c>
      <c r="AJ66" s="27">
        <f t="shared" ref="AJ66:BP66" si="47">AJ51</f>
        <v>0</v>
      </c>
      <c r="AK66" s="27">
        <f t="shared" si="47"/>
        <v>0</v>
      </c>
      <c r="AL66" s="27">
        <f t="shared" si="47"/>
        <v>0</v>
      </c>
      <c r="AM66" s="27">
        <f t="shared" si="47"/>
        <v>0</v>
      </c>
      <c r="AN66" s="27">
        <f t="shared" si="47"/>
        <v>0</v>
      </c>
      <c r="AO66" s="27">
        <f t="shared" si="47"/>
        <v>0</v>
      </c>
      <c r="AP66" s="4">
        <f t="shared" si="47"/>
        <v>0</v>
      </c>
      <c r="AQ66" s="28">
        <f t="shared" si="47"/>
        <v>0</v>
      </c>
      <c r="AR66" s="27">
        <f t="shared" si="47"/>
        <v>0</v>
      </c>
      <c r="AS66" s="27">
        <f t="shared" si="47"/>
        <v>0</v>
      </c>
      <c r="AT66" s="27">
        <f t="shared" si="47"/>
        <v>0</v>
      </c>
      <c r="AU66" s="27">
        <f t="shared" si="47"/>
        <v>0</v>
      </c>
      <c r="AV66" s="27">
        <f t="shared" si="47"/>
        <v>0</v>
      </c>
      <c r="AW66" s="27">
        <f t="shared" si="47"/>
        <v>0</v>
      </c>
      <c r="AX66" s="27">
        <f t="shared" si="47"/>
        <v>0</v>
      </c>
      <c r="AY66" s="27">
        <f t="shared" si="47"/>
        <v>0</v>
      </c>
      <c r="AZ66" s="27">
        <f t="shared" si="47"/>
        <v>0</v>
      </c>
      <c r="BA66" s="27">
        <f t="shared" si="47"/>
        <v>0</v>
      </c>
      <c r="BB66" s="27">
        <f t="shared" si="47"/>
        <v>0</v>
      </c>
      <c r="BC66" s="4">
        <f t="shared" si="47"/>
        <v>0</v>
      </c>
      <c r="BD66" s="27">
        <f t="shared" si="47"/>
        <v>0</v>
      </c>
      <c r="BE66" s="27">
        <f t="shared" si="47"/>
        <v>0</v>
      </c>
      <c r="BF66" s="27">
        <f t="shared" si="47"/>
        <v>0</v>
      </c>
      <c r="BG66" s="27">
        <f t="shared" si="47"/>
        <v>0</v>
      </c>
      <c r="BH66" s="27">
        <f t="shared" si="47"/>
        <v>0</v>
      </c>
      <c r="BI66" s="27">
        <f t="shared" si="47"/>
        <v>0</v>
      </c>
      <c r="BJ66" s="27">
        <f t="shared" si="47"/>
        <v>0</v>
      </c>
      <c r="BK66" s="27">
        <f t="shared" si="47"/>
        <v>0</v>
      </c>
      <c r="BL66" s="27">
        <f t="shared" si="47"/>
        <v>0</v>
      </c>
      <c r="BM66" s="27">
        <f t="shared" si="47"/>
        <v>0</v>
      </c>
      <c r="BN66" s="27">
        <f t="shared" si="47"/>
        <v>0</v>
      </c>
      <c r="BO66" s="27">
        <f t="shared" si="47"/>
        <v>0</v>
      </c>
      <c r="BP66" s="4">
        <f t="shared" si="47"/>
        <v>0</v>
      </c>
    </row>
    <row r="67" spans="1:68" s="12" customFormat="1" x14ac:dyDescent="0.25">
      <c r="A67" s="12" t="s">
        <v>97</v>
      </c>
      <c r="B67" s="56" t="s">
        <v>90</v>
      </c>
      <c r="D67" s="57">
        <f t="shared" ref="D67:AI67" si="48">D57</f>
        <v>0</v>
      </c>
      <c r="E67" s="57">
        <f t="shared" si="48"/>
        <v>0</v>
      </c>
      <c r="F67" s="57">
        <f t="shared" si="48"/>
        <v>0</v>
      </c>
      <c r="G67" s="57">
        <f t="shared" si="48"/>
        <v>-160</v>
      </c>
      <c r="H67" s="57">
        <f t="shared" si="48"/>
        <v>0</v>
      </c>
      <c r="I67" s="57">
        <f t="shared" si="48"/>
        <v>0</v>
      </c>
      <c r="J67" s="57">
        <f t="shared" si="48"/>
        <v>0</v>
      </c>
      <c r="K67" s="57">
        <f t="shared" si="48"/>
        <v>-155</v>
      </c>
      <c r="L67" s="57">
        <f t="shared" si="48"/>
        <v>0</v>
      </c>
      <c r="M67" s="57">
        <f t="shared" si="48"/>
        <v>0</v>
      </c>
      <c r="N67" s="57">
        <f t="shared" si="48"/>
        <v>0</v>
      </c>
      <c r="O67" s="57">
        <f t="shared" si="48"/>
        <v>-191</v>
      </c>
      <c r="P67" s="58">
        <f t="shared" si="48"/>
        <v>-506</v>
      </c>
      <c r="Q67" s="57">
        <f t="shared" si="48"/>
        <v>0</v>
      </c>
      <c r="R67" s="57">
        <f t="shared" si="48"/>
        <v>0</v>
      </c>
      <c r="S67" s="57">
        <f t="shared" si="48"/>
        <v>0</v>
      </c>
      <c r="T67" s="57">
        <f t="shared" si="48"/>
        <v>-52</v>
      </c>
      <c r="U67" s="57">
        <f t="shared" si="48"/>
        <v>0</v>
      </c>
      <c r="V67" s="57">
        <f t="shared" si="48"/>
        <v>0</v>
      </c>
      <c r="W67" s="57">
        <f t="shared" si="48"/>
        <v>0</v>
      </c>
      <c r="X67" s="57">
        <f t="shared" si="48"/>
        <v>-149</v>
      </c>
      <c r="Y67" s="57">
        <f t="shared" si="48"/>
        <v>0</v>
      </c>
      <c r="Z67" s="57">
        <f t="shared" si="48"/>
        <v>0</v>
      </c>
      <c r="AA67" s="57">
        <f t="shared" si="48"/>
        <v>0</v>
      </c>
      <c r="AB67" s="57">
        <f t="shared" si="48"/>
        <v>-163</v>
      </c>
      <c r="AC67" s="58">
        <f t="shared" si="48"/>
        <v>-364</v>
      </c>
      <c r="AD67" s="57">
        <f t="shared" si="48"/>
        <v>0</v>
      </c>
      <c r="AE67" s="57">
        <f t="shared" si="48"/>
        <v>0</v>
      </c>
      <c r="AF67" s="57">
        <f t="shared" si="48"/>
        <v>0</v>
      </c>
      <c r="AG67" s="57">
        <f t="shared" si="48"/>
        <v>-57</v>
      </c>
      <c r="AH67" s="57">
        <f t="shared" si="48"/>
        <v>0</v>
      </c>
      <c r="AI67" s="57">
        <f t="shared" si="48"/>
        <v>0</v>
      </c>
      <c r="AJ67" s="57">
        <f t="shared" ref="AJ67:BP67" si="49">AJ57</f>
        <v>0</v>
      </c>
      <c r="AK67" s="57">
        <f t="shared" si="49"/>
        <v>-199</v>
      </c>
      <c r="AL67" s="57">
        <f t="shared" si="49"/>
        <v>0</v>
      </c>
      <c r="AM67" s="57">
        <f t="shared" si="49"/>
        <v>0</v>
      </c>
      <c r="AN67" s="57">
        <f t="shared" si="49"/>
        <v>0</v>
      </c>
      <c r="AO67" s="57">
        <f t="shared" si="49"/>
        <v>-60</v>
      </c>
      <c r="AP67" s="58">
        <f t="shared" si="49"/>
        <v>-316</v>
      </c>
      <c r="AQ67" s="59">
        <f t="shared" si="49"/>
        <v>0</v>
      </c>
      <c r="AR67" s="57">
        <f t="shared" si="49"/>
        <v>0</v>
      </c>
      <c r="AS67" s="57">
        <f t="shared" si="49"/>
        <v>0</v>
      </c>
      <c r="AT67" s="57">
        <f t="shared" si="49"/>
        <v>0</v>
      </c>
      <c r="AU67" s="57">
        <f t="shared" si="49"/>
        <v>0</v>
      </c>
      <c r="AV67" s="57">
        <f t="shared" si="49"/>
        <v>0</v>
      </c>
      <c r="AW67" s="57">
        <f t="shared" si="49"/>
        <v>0</v>
      </c>
      <c r="AX67" s="57">
        <f t="shared" si="49"/>
        <v>0</v>
      </c>
      <c r="AY67" s="57">
        <f t="shared" si="49"/>
        <v>0</v>
      </c>
      <c r="AZ67" s="57">
        <f t="shared" si="49"/>
        <v>0</v>
      </c>
      <c r="BA67" s="57">
        <f t="shared" si="49"/>
        <v>0</v>
      </c>
      <c r="BB67" s="57">
        <f t="shared" si="49"/>
        <v>0</v>
      </c>
      <c r="BC67" s="58">
        <f t="shared" si="49"/>
        <v>0</v>
      </c>
      <c r="BD67" s="57">
        <f t="shared" si="49"/>
        <v>0</v>
      </c>
      <c r="BE67" s="57">
        <f t="shared" si="49"/>
        <v>0</v>
      </c>
      <c r="BF67" s="57">
        <f t="shared" si="49"/>
        <v>0</v>
      </c>
      <c r="BG67" s="57">
        <f t="shared" si="49"/>
        <v>0</v>
      </c>
      <c r="BH67" s="57">
        <f t="shared" si="49"/>
        <v>0</v>
      </c>
      <c r="BI67" s="57">
        <f t="shared" si="49"/>
        <v>0</v>
      </c>
      <c r="BJ67" s="57">
        <f t="shared" si="49"/>
        <v>0</v>
      </c>
      <c r="BK67" s="57">
        <f t="shared" si="49"/>
        <v>0</v>
      </c>
      <c r="BL67" s="57">
        <f t="shared" si="49"/>
        <v>0</v>
      </c>
      <c r="BM67" s="57">
        <f t="shared" si="49"/>
        <v>0</v>
      </c>
      <c r="BN67" s="57">
        <f t="shared" si="49"/>
        <v>0</v>
      </c>
      <c r="BO67" s="57">
        <f t="shared" si="49"/>
        <v>0</v>
      </c>
      <c r="BP67" s="58">
        <f t="shared" si="49"/>
        <v>0</v>
      </c>
    </row>
    <row r="68" spans="1:68" s="13" customFormat="1" x14ac:dyDescent="0.25">
      <c r="A68" s="13" t="s">
        <v>99</v>
      </c>
      <c r="B68" s="60"/>
      <c r="D68" s="61">
        <f t="shared" ref="D68:AI68" si="50">SUM(D60:D67)</f>
        <v>5001</v>
      </c>
      <c r="E68" s="61">
        <f t="shared" si="50"/>
        <v>1304.1304000000005</v>
      </c>
      <c r="F68" s="61">
        <f t="shared" si="50"/>
        <v>13898.829879999999</v>
      </c>
      <c r="G68" s="61">
        <f t="shared" si="50"/>
        <v>10031.206839999999</v>
      </c>
      <c r="H68" s="61">
        <f t="shared" si="50"/>
        <v>2102.2663199999997</v>
      </c>
      <c r="I68" s="61">
        <f t="shared" si="50"/>
        <v>15241.735799999997</v>
      </c>
      <c r="J68" s="61">
        <f t="shared" si="50"/>
        <v>4852.5687200000011</v>
      </c>
      <c r="K68" s="61">
        <f t="shared" si="50"/>
        <v>16423.588400000001</v>
      </c>
      <c r="L68" s="61">
        <f t="shared" si="50"/>
        <v>9391.3578799999977</v>
      </c>
      <c r="M68" s="61">
        <f t="shared" si="50"/>
        <v>21567.61736</v>
      </c>
      <c r="N68" s="61">
        <f t="shared" si="50"/>
        <v>16553.821039999999</v>
      </c>
      <c r="O68" s="61">
        <f t="shared" si="50"/>
        <v>26022.159519999997</v>
      </c>
      <c r="P68" s="62">
        <f t="shared" si="50"/>
        <v>142390.28216</v>
      </c>
      <c r="Q68" s="61">
        <f t="shared" si="50"/>
        <v>6211.1816799999997</v>
      </c>
      <c r="R68" s="61">
        <f t="shared" si="50"/>
        <v>30298.864240000003</v>
      </c>
      <c r="S68" s="61">
        <f t="shared" si="50"/>
        <v>11882.031040000003</v>
      </c>
      <c r="T68" s="61">
        <f t="shared" si="50"/>
        <v>24498.039199999999</v>
      </c>
      <c r="U68" s="61">
        <f t="shared" si="50"/>
        <v>17417.771680000002</v>
      </c>
      <c r="V68" s="61">
        <f t="shared" si="50"/>
        <v>23661.169959999999</v>
      </c>
      <c r="W68" s="61">
        <f t="shared" si="50"/>
        <v>16688.74812</v>
      </c>
      <c r="X68" s="61">
        <f t="shared" si="50"/>
        <v>14948.692840000003</v>
      </c>
      <c r="Y68" s="61">
        <f t="shared" si="50"/>
        <v>6611.5025600000008</v>
      </c>
      <c r="Z68" s="61">
        <f t="shared" si="50"/>
        <v>31592.330599999994</v>
      </c>
      <c r="AA68" s="61">
        <f t="shared" si="50"/>
        <v>5829.7392</v>
      </c>
      <c r="AB68" s="61">
        <f t="shared" si="50"/>
        <v>20854.723160000001</v>
      </c>
      <c r="AC68" s="62">
        <f t="shared" si="50"/>
        <v>210494.79428000009</v>
      </c>
      <c r="AD68" s="61">
        <f t="shared" si="50"/>
        <v>-993.65287999999975</v>
      </c>
      <c r="AE68" s="61">
        <f t="shared" si="50"/>
        <v>18727.240720000002</v>
      </c>
      <c r="AF68" s="61">
        <f t="shared" si="50"/>
        <v>12862.420600000003</v>
      </c>
      <c r="AG68" s="61">
        <f t="shared" si="50"/>
        <v>28030.731039999999</v>
      </c>
      <c r="AH68" s="61">
        <f t="shared" si="50"/>
        <v>-868.18035999999984</v>
      </c>
      <c r="AI68" s="61">
        <f t="shared" si="50"/>
        <v>32490.921320000001</v>
      </c>
      <c r="AJ68" s="61">
        <f t="shared" ref="AJ68:BO68" si="51">SUM(AJ60:AJ67)</f>
        <v>7459.9592400000001</v>
      </c>
      <c r="AK68" s="61">
        <f t="shared" si="51"/>
        <v>13945.237720000001</v>
      </c>
      <c r="AL68" s="61">
        <f t="shared" si="51"/>
        <v>8030.7058799999977</v>
      </c>
      <c r="AM68" s="61">
        <f t="shared" si="51"/>
        <v>17313.076480000007</v>
      </c>
      <c r="AN68" s="61">
        <f t="shared" si="51"/>
        <v>21485.538799999998</v>
      </c>
      <c r="AO68" s="61">
        <f t="shared" si="51"/>
        <v>7597.9274000000005</v>
      </c>
      <c r="AP68" s="62">
        <f t="shared" si="51"/>
        <v>166081.92595999999</v>
      </c>
      <c r="AQ68" s="63">
        <f t="shared" si="51"/>
        <v>0</v>
      </c>
      <c r="AR68" s="61">
        <f t="shared" si="51"/>
        <v>0</v>
      </c>
      <c r="AS68" s="61">
        <f t="shared" si="51"/>
        <v>0</v>
      </c>
      <c r="AT68" s="61">
        <f t="shared" si="51"/>
        <v>0</v>
      </c>
      <c r="AU68" s="61">
        <f t="shared" si="51"/>
        <v>0</v>
      </c>
      <c r="AV68" s="61">
        <f t="shared" si="51"/>
        <v>0</v>
      </c>
      <c r="AW68" s="61">
        <f t="shared" si="51"/>
        <v>0</v>
      </c>
      <c r="AX68" s="61">
        <f t="shared" si="51"/>
        <v>0</v>
      </c>
      <c r="AY68" s="61">
        <f t="shared" si="51"/>
        <v>0</v>
      </c>
      <c r="AZ68" s="61">
        <f t="shared" si="51"/>
        <v>0</v>
      </c>
      <c r="BA68" s="61">
        <f t="shared" si="51"/>
        <v>0</v>
      </c>
      <c r="BB68" s="61">
        <f t="shared" si="51"/>
        <v>0</v>
      </c>
      <c r="BC68" s="62">
        <f t="shared" si="51"/>
        <v>0</v>
      </c>
      <c r="BD68" s="61">
        <f t="shared" si="51"/>
        <v>0</v>
      </c>
      <c r="BE68" s="61">
        <f t="shared" si="51"/>
        <v>0</v>
      </c>
      <c r="BF68" s="61">
        <f t="shared" si="51"/>
        <v>0</v>
      </c>
      <c r="BG68" s="61">
        <f t="shared" si="51"/>
        <v>0</v>
      </c>
      <c r="BH68" s="61">
        <f t="shared" si="51"/>
        <v>0</v>
      </c>
      <c r="BI68" s="61">
        <f t="shared" si="51"/>
        <v>0</v>
      </c>
      <c r="BJ68" s="61">
        <f t="shared" si="51"/>
        <v>0</v>
      </c>
      <c r="BK68" s="61">
        <f t="shared" si="51"/>
        <v>0</v>
      </c>
      <c r="BL68" s="61">
        <f t="shared" si="51"/>
        <v>0</v>
      </c>
      <c r="BM68" s="61">
        <f t="shared" si="51"/>
        <v>0</v>
      </c>
      <c r="BN68" s="61">
        <f t="shared" si="51"/>
        <v>0</v>
      </c>
      <c r="BO68" s="61">
        <f t="shared" si="51"/>
        <v>0</v>
      </c>
      <c r="BP68" s="62">
        <f t="shared" ref="BP68:CU68" si="52">SUM(BP60:BP67)</f>
        <v>0</v>
      </c>
    </row>
    <row r="70" spans="1:68" s="8" customFormat="1" x14ac:dyDescent="0.25">
      <c r="A70" s="38" t="s">
        <v>100</v>
      </c>
      <c r="B70" s="39"/>
      <c r="C70" s="38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1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1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1"/>
      <c r="AQ70" s="42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1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1"/>
    </row>
    <row r="71" spans="1:68" x14ac:dyDescent="0.25">
      <c r="A71" t="s">
        <v>101</v>
      </c>
      <c r="B71" s="2" t="s">
        <v>102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>SUM(D71:O71)</f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4">
        <f>SUM(Q71:AB71)</f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4">
        <f>SUM(AD71:AO71)</f>
        <v>0</v>
      </c>
      <c r="AQ71" s="5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4">
        <f>SUM(AQ71:BB71)</f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4">
        <f>SUM(BD71:BO71)</f>
        <v>0</v>
      </c>
    </row>
    <row r="72" spans="1:68" s="14" customFormat="1" x14ac:dyDescent="0.25">
      <c r="A72" s="64" t="s">
        <v>20</v>
      </c>
      <c r="B72" s="65"/>
      <c r="C72" s="66" t="s">
        <v>103</v>
      </c>
      <c r="D72" s="67">
        <f t="shared" ref="D72:AI72" si="53">SUM(D71:D71)</f>
        <v>0</v>
      </c>
      <c r="E72" s="67">
        <f t="shared" si="53"/>
        <v>0</v>
      </c>
      <c r="F72" s="67">
        <f t="shared" si="53"/>
        <v>0</v>
      </c>
      <c r="G72" s="67">
        <f t="shared" si="53"/>
        <v>0</v>
      </c>
      <c r="H72" s="67">
        <f t="shared" si="53"/>
        <v>0</v>
      </c>
      <c r="I72" s="67">
        <f t="shared" si="53"/>
        <v>0</v>
      </c>
      <c r="J72" s="67">
        <f t="shared" si="53"/>
        <v>0</v>
      </c>
      <c r="K72" s="67">
        <f t="shared" si="53"/>
        <v>0</v>
      </c>
      <c r="L72" s="67">
        <f t="shared" si="53"/>
        <v>0</v>
      </c>
      <c r="M72" s="67">
        <f t="shared" si="53"/>
        <v>0</v>
      </c>
      <c r="N72" s="67">
        <f t="shared" si="53"/>
        <v>0</v>
      </c>
      <c r="O72" s="67">
        <f t="shared" si="53"/>
        <v>0</v>
      </c>
      <c r="P72" s="68">
        <f t="shared" si="53"/>
        <v>0</v>
      </c>
      <c r="Q72" s="67">
        <f t="shared" si="53"/>
        <v>0</v>
      </c>
      <c r="R72" s="67">
        <f t="shared" si="53"/>
        <v>0</v>
      </c>
      <c r="S72" s="67">
        <f t="shared" si="53"/>
        <v>0</v>
      </c>
      <c r="T72" s="67">
        <f t="shared" si="53"/>
        <v>0</v>
      </c>
      <c r="U72" s="67">
        <f t="shared" si="53"/>
        <v>0</v>
      </c>
      <c r="V72" s="67">
        <f t="shared" si="53"/>
        <v>0</v>
      </c>
      <c r="W72" s="67">
        <f t="shared" si="53"/>
        <v>0</v>
      </c>
      <c r="X72" s="67">
        <f t="shared" si="53"/>
        <v>0</v>
      </c>
      <c r="Y72" s="67">
        <f t="shared" si="53"/>
        <v>0</v>
      </c>
      <c r="Z72" s="67">
        <f t="shared" si="53"/>
        <v>0</v>
      </c>
      <c r="AA72" s="67">
        <f t="shared" si="53"/>
        <v>0</v>
      </c>
      <c r="AB72" s="67">
        <f t="shared" si="53"/>
        <v>0</v>
      </c>
      <c r="AC72" s="68">
        <f t="shared" si="53"/>
        <v>0</v>
      </c>
      <c r="AD72" s="67">
        <f t="shared" si="53"/>
        <v>0</v>
      </c>
      <c r="AE72" s="67">
        <f t="shared" si="53"/>
        <v>0</v>
      </c>
      <c r="AF72" s="67">
        <f t="shared" si="53"/>
        <v>0</v>
      </c>
      <c r="AG72" s="67">
        <f t="shared" si="53"/>
        <v>0</v>
      </c>
      <c r="AH72" s="67">
        <f t="shared" si="53"/>
        <v>0</v>
      </c>
      <c r="AI72" s="67">
        <f t="shared" si="53"/>
        <v>0</v>
      </c>
      <c r="AJ72" s="67">
        <f t="shared" ref="AJ72:BO72" si="54">SUM(AJ71:AJ71)</f>
        <v>0</v>
      </c>
      <c r="AK72" s="67">
        <f t="shared" si="54"/>
        <v>0</v>
      </c>
      <c r="AL72" s="67">
        <f t="shared" si="54"/>
        <v>0</v>
      </c>
      <c r="AM72" s="67">
        <f t="shared" si="54"/>
        <v>0</v>
      </c>
      <c r="AN72" s="67">
        <f t="shared" si="54"/>
        <v>0</v>
      </c>
      <c r="AO72" s="67">
        <f t="shared" si="54"/>
        <v>0</v>
      </c>
      <c r="AP72" s="68">
        <f t="shared" si="54"/>
        <v>0</v>
      </c>
      <c r="AQ72" s="67">
        <f t="shared" si="54"/>
        <v>0</v>
      </c>
      <c r="AR72" s="67">
        <f t="shared" si="54"/>
        <v>0</v>
      </c>
      <c r="AS72" s="67">
        <f t="shared" si="54"/>
        <v>0</v>
      </c>
      <c r="AT72" s="67">
        <f t="shared" si="54"/>
        <v>0</v>
      </c>
      <c r="AU72" s="67">
        <f t="shared" si="54"/>
        <v>0</v>
      </c>
      <c r="AV72" s="67">
        <f t="shared" si="54"/>
        <v>0</v>
      </c>
      <c r="AW72" s="67">
        <f t="shared" si="54"/>
        <v>0</v>
      </c>
      <c r="AX72" s="67">
        <f t="shared" si="54"/>
        <v>0</v>
      </c>
      <c r="AY72" s="67">
        <f t="shared" si="54"/>
        <v>0</v>
      </c>
      <c r="AZ72" s="67">
        <f t="shared" si="54"/>
        <v>0</v>
      </c>
      <c r="BA72" s="67">
        <f t="shared" si="54"/>
        <v>0</v>
      </c>
      <c r="BB72" s="67">
        <f t="shared" si="54"/>
        <v>0</v>
      </c>
      <c r="BC72" s="68">
        <f t="shared" si="54"/>
        <v>0</v>
      </c>
      <c r="BD72" s="67">
        <f t="shared" si="54"/>
        <v>0</v>
      </c>
      <c r="BE72" s="67">
        <f t="shared" si="54"/>
        <v>0</v>
      </c>
      <c r="BF72" s="67">
        <f t="shared" si="54"/>
        <v>0</v>
      </c>
      <c r="BG72" s="67">
        <f t="shared" si="54"/>
        <v>0</v>
      </c>
      <c r="BH72" s="67">
        <f t="shared" si="54"/>
        <v>0</v>
      </c>
      <c r="BI72" s="67">
        <f t="shared" si="54"/>
        <v>0</v>
      </c>
      <c r="BJ72" s="67">
        <f t="shared" si="54"/>
        <v>0</v>
      </c>
      <c r="BK72" s="67">
        <f t="shared" si="54"/>
        <v>0</v>
      </c>
      <c r="BL72" s="67">
        <f t="shared" si="54"/>
        <v>0</v>
      </c>
      <c r="BM72" s="67">
        <f t="shared" si="54"/>
        <v>0</v>
      </c>
      <c r="BN72" s="67">
        <f t="shared" si="54"/>
        <v>0</v>
      </c>
      <c r="BO72" s="67">
        <f t="shared" si="54"/>
        <v>0</v>
      </c>
      <c r="BP72" s="68">
        <f t="shared" ref="BP72:CU72" si="55">SUM(BP71:BP71)</f>
        <v>0</v>
      </c>
    </row>
    <row r="74" spans="1:68" s="8" customFormat="1" x14ac:dyDescent="0.25">
      <c r="A74" s="38" t="s">
        <v>104</v>
      </c>
      <c r="B74" s="39"/>
      <c r="C74" s="38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1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1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1"/>
      <c r="AQ74" s="42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1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1"/>
    </row>
    <row r="75" spans="1:68" x14ac:dyDescent="0.25">
      <c r="A75" t="s">
        <v>105</v>
      </c>
      <c r="B75" s="2" t="s">
        <v>106</v>
      </c>
      <c r="D75" s="3">
        <v>3750.75</v>
      </c>
      <c r="E75" s="3">
        <v>0</v>
      </c>
      <c r="F75" s="3">
        <v>3640.87</v>
      </c>
      <c r="G75" s="3">
        <v>9572.41</v>
      </c>
      <c r="H75" s="3">
        <v>3083.21</v>
      </c>
      <c r="I75" s="3">
        <v>13262.74</v>
      </c>
      <c r="J75" s="3">
        <v>7917.7</v>
      </c>
      <c r="K75" s="3">
        <v>9869.66</v>
      </c>
      <c r="L75" s="3">
        <v>12190.42</v>
      </c>
      <c r="M75" s="3">
        <v>20783.47</v>
      </c>
      <c r="N75" s="3">
        <v>16696.400000000001</v>
      </c>
      <c r="O75" s="3">
        <v>21769.439999999999</v>
      </c>
      <c r="P75" s="4">
        <f>SUM(D75:O75)</f>
        <v>122537.07</v>
      </c>
      <c r="Q75" s="3">
        <v>4997.45</v>
      </c>
      <c r="R75" s="3">
        <v>15451.24</v>
      </c>
      <c r="S75" s="3">
        <v>17231.400000000001</v>
      </c>
      <c r="T75" s="3">
        <v>23032.66</v>
      </c>
      <c r="U75" s="3">
        <v>13125.34</v>
      </c>
      <c r="V75" s="3">
        <v>24670.75</v>
      </c>
      <c r="W75" s="3">
        <v>20926.77</v>
      </c>
      <c r="X75" s="3">
        <v>14812.35</v>
      </c>
      <c r="Y75" s="3">
        <v>10492.88</v>
      </c>
      <c r="Z75" s="3">
        <v>53400.223610000001</v>
      </c>
      <c r="AA75" s="3">
        <v>10295.209999999999</v>
      </c>
      <c r="AB75" s="3">
        <v>20517.62</v>
      </c>
      <c r="AC75" s="4">
        <f>SUM(Q75:AB75)</f>
        <v>228953.89361</v>
      </c>
      <c r="AD75" s="3">
        <v>574.29</v>
      </c>
      <c r="AE75" s="3">
        <v>3074.83</v>
      </c>
      <c r="AF75" s="3">
        <v>12482.87</v>
      </c>
      <c r="AG75" s="3">
        <v>25876.18</v>
      </c>
      <c r="AH75" s="3">
        <v>5631.54</v>
      </c>
      <c r="AI75" s="3">
        <v>29334.29</v>
      </c>
      <c r="AJ75" s="3">
        <v>14060.04</v>
      </c>
      <c r="AK75" s="3">
        <v>5790.11</v>
      </c>
      <c r="AL75" s="3">
        <v>8516.4500000000007</v>
      </c>
      <c r="AM75" s="3">
        <v>54247.070910000002</v>
      </c>
      <c r="AN75" s="3">
        <v>18379.82</v>
      </c>
      <c r="AO75" s="3">
        <v>19266.919999999998</v>
      </c>
      <c r="AP75" s="4">
        <f>SUM(AD75:AO75)</f>
        <v>197234.41091000004</v>
      </c>
      <c r="AQ75" s="5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4">
        <f>SUM(AQ75:BB75)</f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4">
        <f>SUM(BD75:BO75)</f>
        <v>0</v>
      </c>
    </row>
    <row r="76" spans="1:68" s="10" customFormat="1" x14ac:dyDescent="0.25">
      <c r="A76" s="48" t="s">
        <v>20</v>
      </c>
      <c r="B76" s="49"/>
      <c r="C76" s="50" t="s">
        <v>107</v>
      </c>
      <c r="D76" s="51">
        <f t="shared" ref="D76:AI76" si="56">SUM(D75:D75)*-1</f>
        <v>-3750.75</v>
      </c>
      <c r="E76" s="51">
        <f t="shared" si="56"/>
        <v>0</v>
      </c>
      <c r="F76" s="51">
        <f t="shared" si="56"/>
        <v>-3640.87</v>
      </c>
      <c r="G76" s="51">
        <f t="shared" si="56"/>
        <v>-9572.41</v>
      </c>
      <c r="H76" s="51">
        <f t="shared" si="56"/>
        <v>-3083.21</v>
      </c>
      <c r="I76" s="51">
        <f t="shared" si="56"/>
        <v>-13262.74</v>
      </c>
      <c r="J76" s="51">
        <f t="shared" si="56"/>
        <v>-7917.7</v>
      </c>
      <c r="K76" s="51">
        <f t="shared" si="56"/>
        <v>-9869.66</v>
      </c>
      <c r="L76" s="51">
        <f t="shared" si="56"/>
        <v>-12190.42</v>
      </c>
      <c r="M76" s="51">
        <f t="shared" si="56"/>
        <v>-20783.47</v>
      </c>
      <c r="N76" s="51">
        <f t="shared" si="56"/>
        <v>-16696.400000000001</v>
      </c>
      <c r="O76" s="51">
        <f t="shared" si="56"/>
        <v>-21769.439999999999</v>
      </c>
      <c r="P76" s="52">
        <f t="shared" si="56"/>
        <v>-122537.07</v>
      </c>
      <c r="Q76" s="51">
        <f t="shared" si="56"/>
        <v>-4997.45</v>
      </c>
      <c r="R76" s="51">
        <f t="shared" si="56"/>
        <v>-15451.24</v>
      </c>
      <c r="S76" s="51">
        <f t="shared" si="56"/>
        <v>-17231.400000000001</v>
      </c>
      <c r="T76" s="51">
        <f t="shared" si="56"/>
        <v>-23032.66</v>
      </c>
      <c r="U76" s="51">
        <f t="shared" si="56"/>
        <v>-13125.34</v>
      </c>
      <c r="V76" s="51">
        <f t="shared" si="56"/>
        <v>-24670.75</v>
      </c>
      <c r="W76" s="51">
        <f t="shared" si="56"/>
        <v>-20926.77</v>
      </c>
      <c r="X76" s="51">
        <f t="shared" si="56"/>
        <v>-14812.35</v>
      </c>
      <c r="Y76" s="51">
        <f t="shared" si="56"/>
        <v>-10492.88</v>
      </c>
      <c r="Z76" s="51">
        <f t="shared" si="56"/>
        <v>-53400.223610000001</v>
      </c>
      <c r="AA76" s="51">
        <f t="shared" si="56"/>
        <v>-10295.209999999999</v>
      </c>
      <c r="AB76" s="51">
        <f t="shared" si="56"/>
        <v>-20517.62</v>
      </c>
      <c r="AC76" s="52">
        <f t="shared" si="56"/>
        <v>-228953.89361</v>
      </c>
      <c r="AD76" s="51">
        <f t="shared" si="56"/>
        <v>-574.29</v>
      </c>
      <c r="AE76" s="51">
        <f t="shared" si="56"/>
        <v>-3074.83</v>
      </c>
      <c r="AF76" s="51">
        <f t="shared" si="56"/>
        <v>-12482.87</v>
      </c>
      <c r="AG76" s="51">
        <f t="shared" si="56"/>
        <v>-25876.18</v>
      </c>
      <c r="AH76" s="51">
        <f t="shared" si="56"/>
        <v>-5631.54</v>
      </c>
      <c r="AI76" s="51">
        <f t="shared" si="56"/>
        <v>-29334.29</v>
      </c>
      <c r="AJ76" s="51">
        <f t="shared" ref="AJ76:BO76" si="57">SUM(AJ75:AJ75)*-1</f>
        <v>-14060.04</v>
      </c>
      <c r="AK76" s="51">
        <f t="shared" si="57"/>
        <v>-5790.11</v>
      </c>
      <c r="AL76" s="51">
        <f t="shared" si="57"/>
        <v>-8516.4500000000007</v>
      </c>
      <c r="AM76" s="51">
        <f t="shared" si="57"/>
        <v>-54247.070910000002</v>
      </c>
      <c r="AN76" s="51">
        <f t="shared" si="57"/>
        <v>-18379.82</v>
      </c>
      <c r="AO76" s="51">
        <f t="shared" si="57"/>
        <v>-19266.919999999998</v>
      </c>
      <c r="AP76" s="52">
        <f t="shared" si="57"/>
        <v>-197234.41091000004</v>
      </c>
      <c r="AQ76" s="51">
        <f t="shared" si="57"/>
        <v>0</v>
      </c>
      <c r="AR76" s="51">
        <f t="shared" si="57"/>
        <v>0</v>
      </c>
      <c r="AS76" s="51">
        <f t="shared" si="57"/>
        <v>0</v>
      </c>
      <c r="AT76" s="51">
        <f t="shared" si="57"/>
        <v>0</v>
      </c>
      <c r="AU76" s="51">
        <f t="shared" si="57"/>
        <v>0</v>
      </c>
      <c r="AV76" s="51">
        <f t="shared" si="57"/>
        <v>0</v>
      </c>
      <c r="AW76" s="51">
        <f t="shared" si="57"/>
        <v>0</v>
      </c>
      <c r="AX76" s="51">
        <f t="shared" si="57"/>
        <v>0</v>
      </c>
      <c r="AY76" s="51">
        <f t="shared" si="57"/>
        <v>0</v>
      </c>
      <c r="AZ76" s="51">
        <f t="shared" si="57"/>
        <v>0</v>
      </c>
      <c r="BA76" s="51">
        <f t="shared" si="57"/>
        <v>0</v>
      </c>
      <c r="BB76" s="51">
        <f t="shared" si="57"/>
        <v>0</v>
      </c>
      <c r="BC76" s="52">
        <f t="shared" si="57"/>
        <v>0</v>
      </c>
      <c r="BD76" s="51">
        <f t="shared" si="57"/>
        <v>0</v>
      </c>
      <c r="BE76" s="51">
        <f t="shared" si="57"/>
        <v>0</v>
      </c>
      <c r="BF76" s="51">
        <f t="shared" si="57"/>
        <v>0</v>
      </c>
      <c r="BG76" s="51">
        <f t="shared" si="57"/>
        <v>0</v>
      </c>
      <c r="BH76" s="51">
        <f t="shared" si="57"/>
        <v>0</v>
      </c>
      <c r="BI76" s="51">
        <f t="shared" si="57"/>
        <v>0</v>
      </c>
      <c r="BJ76" s="51">
        <f t="shared" si="57"/>
        <v>0</v>
      </c>
      <c r="BK76" s="51">
        <f t="shared" si="57"/>
        <v>0</v>
      </c>
      <c r="BL76" s="51">
        <f t="shared" si="57"/>
        <v>0</v>
      </c>
      <c r="BM76" s="51">
        <f t="shared" si="57"/>
        <v>0</v>
      </c>
      <c r="BN76" s="51">
        <f t="shared" si="57"/>
        <v>0</v>
      </c>
      <c r="BO76" s="51">
        <f t="shared" si="57"/>
        <v>0</v>
      </c>
      <c r="BP76" s="52">
        <f t="shared" ref="BP76:CU76" si="58">SUM(BP75:BP75)*-1</f>
        <v>0</v>
      </c>
    </row>
    <row r="78" spans="1:68" s="8" customFormat="1" x14ac:dyDescent="0.25">
      <c r="A78" s="38" t="s">
        <v>108</v>
      </c>
      <c r="B78" s="39"/>
      <c r="C78" s="38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1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1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1"/>
      <c r="AQ78" s="42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1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1"/>
    </row>
    <row r="79" spans="1:68" x14ac:dyDescent="0.25">
      <c r="A79" t="s">
        <v>109</v>
      </c>
      <c r="B79" s="2" t="s">
        <v>110</v>
      </c>
      <c r="D79" s="3">
        <v>3750.75</v>
      </c>
      <c r="E79" s="3">
        <v>0</v>
      </c>
      <c r="F79" s="3">
        <v>3640.87</v>
      </c>
      <c r="G79" s="3">
        <v>9572.41</v>
      </c>
      <c r="H79" s="3">
        <v>3083.21</v>
      </c>
      <c r="I79" s="3">
        <v>13262.74</v>
      </c>
      <c r="J79" s="3">
        <v>7917.7</v>
      </c>
      <c r="K79" s="3">
        <v>9869.66</v>
      </c>
      <c r="L79" s="3">
        <v>12190.42</v>
      </c>
      <c r="M79" s="3">
        <v>20783.47</v>
      </c>
      <c r="N79" s="3">
        <v>16696.400000000001</v>
      </c>
      <c r="O79" s="3">
        <v>21769.439999999999</v>
      </c>
      <c r="P79" s="4">
        <f>SUM(D79:O79)</f>
        <v>122537.07</v>
      </c>
      <c r="Q79" s="3">
        <v>4997.45</v>
      </c>
      <c r="R79" s="3">
        <v>15451.24</v>
      </c>
      <c r="S79" s="3">
        <v>17231.400000000001</v>
      </c>
      <c r="T79" s="3">
        <v>23032.66</v>
      </c>
      <c r="U79" s="3">
        <v>13125.34</v>
      </c>
      <c r="V79" s="3">
        <v>24670.75</v>
      </c>
      <c r="W79" s="3">
        <v>20926.77</v>
      </c>
      <c r="X79" s="3">
        <v>14812.35</v>
      </c>
      <c r="Y79" s="3">
        <v>10492.88</v>
      </c>
      <c r="Z79" s="3">
        <v>53400.223610000001</v>
      </c>
      <c r="AA79" s="3">
        <v>10295.209999999999</v>
      </c>
      <c r="AB79" s="3">
        <v>20517.62</v>
      </c>
      <c r="AC79" s="4">
        <f>SUM(Q79:AB79)</f>
        <v>228953.89361</v>
      </c>
      <c r="AD79" s="3">
        <v>574.29</v>
      </c>
      <c r="AE79" s="3">
        <v>3074.83</v>
      </c>
      <c r="AF79" s="3">
        <v>12482.87</v>
      </c>
      <c r="AG79" s="3">
        <v>25876.18</v>
      </c>
      <c r="AH79" s="3">
        <v>5631.54</v>
      </c>
      <c r="AI79" s="3">
        <v>29334.29</v>
      </c>
      <c r="AJ79" s="3">
        <v>14060.04</v>
      </c>
      <c r="AK79" s="3">
        <v>5790.11</v>
      </c>
      <c r="AL79" s="3">
        <v>8516.4500000000007</v>
      </c>
      <c r="AM79" s="3">
        <v>54247.070910000002</v>
      </c>
      <c r="AN79" s="3">
        <v>18379.82</v>
      </c>
      <c r="AO79" s="3">
        <v>19266.919999999998</v>
      </c>
      <c r="AP79" s="4">
        <f>SUM(AD79:AO79)</f>
        <v>197234.41091000004</v>
      </c>
      <c r="AQ79" s="5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4">
        <f>SUM(AQ79:BB79)</f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4">
        <f>SUM(BD79:BO79)</f>
        <v>0</v>
      </c>
    </row>
    <row r="80" spans="1:68" s="9" customFormat="1" x14ac:dyDescent="0.25">
      <c r="A80" s="43" t="s">
        <v>20</v>
      </c>
      <c r="B80" s="44"/>
      <c r="C80" s="45" t="s">
        <v>111</v>
      </c>
      <c r="D80" s="46">
        <f t="shared" ref="D80:AI80" si="59">SUM(D79:D79)</f>
        <v>3750.75</v>
      </c>
      <c r="E80" s="46">
        <f t="shared" si="59"/>
        <v>0</v>
      </c>
      <c r="F80" s="46">
        <f t="shared" si="59"/>
        <v>3640.87</v>
      </c>
      <c r="G80" s="46">
        <f t="shared" si="59"/>
        <v>9572.41</v>
      </c>
      <c r="H80" s="46">
        <f t="shared" si="59"/>
        <v>3083.21</v>
      </c>
      <c r="I80" s="46">
        <f t="shared" si="59"/>
        <v>13262.74</v>
      </c>
      <c r="J80" s="46">
        <f t="shared" si="59"/>
        <v>7917.7</v>
      </c>
      <c r="K80" s="46">
        <f t="shared" si="59"/>
        <v>9869.66</v>
      </c>
      <c r="L80" s="46">
        <f t="shared" si="59"/>
        <v>12190.42</v>
      </c>
      <c r="M80" s="46">
        <f t="shared" si="59"/>
        <v>20783.47</v>
      </c>
      <c r="N80" s="46">
        <f t="shared" si="59"/>
        <v>16696.400000000001</v>
      </c>
      <c r="O80" s="46">
        <f t="shared" si="59"/>
        <v>21769.439999999999</v>
      </c>
      <c r="P80" s="47">
        <f t="shared" si="59"/>
        <v>122537.07</v>
      </c>
      <c r="Q80" s="46">
        <f t="shared" si="59"/>
        <v>4997.45</v>
      </c>
      <c r="R80" s="46">
        <f t="shared" si="59"/>
        <v>15451.24</v>
      </c>
      <c r="S80" s="46">
        <f t="shared" si="59"/>
        <v>17231.400000000001</v>
      </c>
      <c r="T80" s="46">
        <f t="shared" si="59"/>
        <v>23032.66</v>
      </c>
      <c r="U80" s="46">
        <f t="shared" si="59"/>
        <v>13125.34</v>
      </c>
      <c r="V80" s="46">
        <f t="shared" si="59"/>
        <v>24670.75</v>
      </c>
      <c r="W80" s="46">
        <f t="shared" si="59"/>
        <v>20926.77</v>
      </c>
      <c r="X80" s="46">
        <f t="shared" si="59"/>
        <v>14812.35</v>
      </c>
      <c r="Y80" s="46">
        <f t="shared" si="59"/>
        <v>10492.88</v>
      </c>
      <c r="Z80" s="46">
        <f t="shared" si="59"/>
        <v>53400.223610000001</v>
      </c>
      <c r="AA80" s="46">
        <f t="shared" si="59"/>
        <v>10295.209999999999</v>
      </c>
      <c r="AB80" s="46">
        <f t="shared" si="59"/>
        <v>20517.62</v>
      </c>
      <c r="AC80" s="47">
        <f t="shared" si="59"/>
        <v>228953.89361</v>
      </c>
      <c r="AD80" s="46">
        <f t="shared" si="59"/>
        <v>574.29</v>
      </c>
      <c r="AE80" s="46">
        <f t="shared" si="59"/>
        <v>3074.83</v>
      </c>
      <c r="AF80" s="46">
        <f t="shared" si="59"/>
        <v>12482.87</v>
      </c>
      <c r="AG80" s="46">
        <f t="shared" si="59"/>
        <v>25876.18</v>
      </c>
      <c r="AH80" s="46">
        <f t="shared" si="59"/>
        <v>5631.54</v>
      </c>
      <c r="AI80" s="46">
        <f t="shared" si="59"/>
        <v>29334.29</v>
      </c>
      <c r="AJ80" s="46">
        <f t="shared" ref="AJ80:BO80" si="60">SUM(AJ79:AJ79)</f>
        <v>14060.04</v>
      </c>
      <c r="AK80" s="46">
        <f t="shared" si="60"/>
        <v>5790.11</v>
      </c>
      <c r="AL80" s="46">
        <f t="shared" si="60"/>
        <v>8516.4500000000007</v>
      </c>
      <c r="AM80" s="46">
        <f t="shared" si="60"/>
        <v>54247.070910000002</v>
      </c>
      <c r="AN80" s="46">
        <f t="shared" si="60"/>
        <v>18379.82</v>
      </c>
      <c r="AO80" s="46">
        <f t="shared" si="60"/>
        <v>19266.919999999998</v>
      </c>
      <c r="AP80" s="47">
        <f t="shared" si="60"/>
        <v>197234.41091000004</v>
      </c>
      <c r="AQ80" s="46">
        <f t="shared" si="60"/>
        <v>0</v>
      </c>
      <c r="AR80" s="46">
        <f t="shared" si="60"/>
        <v>0</v>
      </c>
      <c r="AS80" s="46">
        <f t="shared" si="60"/>
        <v>0</v>
      </c>
      <c r="AT80" s="46">
        <f t="shared" si="60"/>
        <v>0</v>
      </c>
      <c r="AU80" s="46">
        <f t="shared" si="60"/>
        <v>0</v>
      </c>
      <c r="AV80" s="46">
        <f t="shared" si="60"/>
        <v>0</v>
      </c>
      <c r="AW80" s="46">
        <f t="shared" si="60"/>
        <v>0</v>
      </c>
      <c r="AX80" s="46">
        <f t="shared" si="60"/>
        <v>0</v>
      </c>
      <c r="AY80" s="46">
        <f t="shared" si="60"/>
        <v>0</v>
      </c>
      <c r="AZ80" s="46">
        <f t="shared" si="60"/>
        <v>0</v>
      </c>
      <c r="BA80" s="46">
        <f t="shared" si="60"/>
        <v>0</v>
      </c>
      <c r="BB80" s="46">
        <f t="shared" si="60"/>
        <v>0</v>
      </c>
      <c r="BC80" s="47">
        <f t="shared" si="60"/>
        <v>0</v>
      </c>
      <c r="BD80" s="46">
        <f t="shared" si="60"/>
        <v>0</v>
      </c>
      <c r="BE80" s="46">
        <f t="shared" si="60"/>
        <v>0</v>
      </c>
      <c r="BF80" s="46">
        <f t="shared" si="60"/>
        <v>0</v>
      </c>
      <c r="BG80" s="46">
        <f t="shared" si="60"/>
        <v>0</v>
      </c>
      <c r="BH80" s="46">
        <f t="shared" si="60"/>
        <v>0</v>
      </c>
      <c r="BI80" s="46">
        <f t="shared" si="60"/>
        <v>0</v>
      </c>
      <c r="BJ80" s="46">
        <f t="shared" si="60"/>
        <v>0</v>
      </c>
      <c r="BK80" s="46">
        <f t="shared" si="60"/>
        <v>0</v>
      </c>
      <c r="BL80" s="46">
        <f t="shared" si="60"/>
        <v>0</v>
      </c>
      <c r="BM80" s="46">
        <f t="shared" si="60"/>
        <v>0</v>
      </c>
      <c r="BN80" s="46">
        <f t="shared" si="60"/>
        <v>0</v>
      </c>
      <c r="BO80" s="46">
        <f t="shared" si="60"/>
        <v>0</v>
      </c>
      <c r="BP80" s="47">
        <f t="shared" ref="BP80:CU80" si="61">SUM(BP79:BP79)</f>
        <v>0</v>
      </c>
    </row>
    <row r="82" spans="1:68" s="8" customFormat="1" x14ac:dyDescent="0.25">
      <c r="A82" s="38" t="s">
        <v>112</v>
      </c>
      <c r="B82" s="39"/>
      <c r="C82" s="38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1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1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1"/>
      <c r="AQ82" s="42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1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1"/>
    </row>
    <row r="83" spans="1:68" x14ac:dyDescent="0.25">
      <c r="A83" t="s">
        <v>113</v>
      </c>
      <c r="B83" s="2" t="s">
        <v>114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4">
        <f>SUM(D83:O83)</f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4">
        <f>SUM(Q83:AB83)</f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4">
        <f>SUM(AD83:AO83)</f>
        <v>0</v>
      </c>
      <c r="AQ83" s="5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4">
        <f>SUM(AQ83:BB83)</f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4">
        <f>SUM(BD83:BO83)</f>
        <v>0</v>
      </c>
    </row>
    <row r="84" spans="1:68" s="14" customFormat="1" x14ac:dyDescent="0.25">
      <c r="A84" s="64" t="s">
        <v>20</v>
      </c>
      <c r="B84" s="65"/>
      <c r="C84" s="66" t="s">
        <v>115</v>
      </c>
      <c r="D84" s="67">
        <f t="shared" ref="D84:AI84" si="62">SUM(D83:D83)</f>
        <v>0</v>
      </c>
      <c r="E84" s="67">
        <f t="shared" si="62"/>
        <v>0</v>
      </c>
      <c r="F84" s="67">
        <f t="shared" si="62"/>
        <v>0</v>
      </c>
      <c r="G84" s="67">
        <f t="shared" si="62"/>
        <v>0</v>
      </c>
      <c r="H84" s="67">
        <f t="shared" si="62"/>
        <v>0</v>
      </c>
      <c r="I84" s="67">
        <f t="shared" si="62"/>
        <v>0</v>
      </c>
      <c r="J84" s="67">
        <f t="shared" si="62"/>
        <v>0</v>
      </c>
      <c r="K84" s="67">
        <f t="shared" si="62"/>
        <v>0</v>
      </c>
      <c r="L84" s="67">
        <f t="shared" si="62"/>
        <v>0</v>
      </c>
      <c r="M84" s="67">
        <f t="shared" si="62"/>
        <v>0</v>
      </c>
      <c r="N84" s="67">
        <f t="shared" si="62"/>
        <v>0</v>
      </c>
      <c r="O84" s="67">
        <f t="shared" si="62"/>
        <v>0</v>
      </c>
      <c r="P84" s="68">
        <f t="shared" si="62"/>
        <v>0</v>
      </c>
      <c r="Q84" s="67">
        <f t="shared" si="62"/>
        <v>0</v>
      </c>
      <c r="R84" s="67">
        <f t="shared" si="62"/>
        <v>0</v>
      </c>
      <c r="S84" s="67">
        <f t="shared" si="62"/>
        <v>0</v>
      </c>
      <c r="T84" s="67">
        <f t="shared" si="62"/>
        <v>0</v>
      </c>
      <c r="U84" s="67">
        <f t="shared" si="62"/>
        <v>0</v>
      </c>
      <c r="V84" s="67">
        <f t="shared" si="62"/>
        <v>0</v>
      </c>
      <c r="W84" s="67">
        <f t="shared" si="62"/>
        <v>0</v>
      </c>
      <c r="X84" s="67">
        <f t="shared" si="62"/>
        <v>0</v>
      </c>
      <c r="Y84" s="67">
        <f t="shared" si="62"/>
        <v>0</v>
      </c>
      <c r="Z84" s="67">
        <f t="shared" si="62"/>
        <v>0</v>
      </c>
      <c r="AA84" s="67">
        <f t="shared" si="62"/>
        <v>0</v>
      </c>
      <c r="AB84" s="67">
        <f t="shared" si="62"/>
        <v>0</v>
      </c>
      <c r="AC84" s="68">
        <f t="shared" si="62"/>
        <v>0</v>
      </c>
      <c r="AD84" s="67">
        <f t="shared" si="62"/>
        <v>0</v>
      </c>
      <c r="AE84" s="67">
        <f t="shared" si="62"/>
        <v>0</v>
      </c>
      <c r="AF84" s="67">
        <f t="shared" si="62"/>
        <v>0</v>
      </c>
      <c r="AG84" s="67">
        <f t="shared" si="62"/>
        <v>0</v>
      </c>
      <c r="AH84" s="67">
        <f t="shared" si="62"/>
        <v>0</v>
      </c>
      <c r="AI84" s="67">
        <f t="shared" si="62"/>
        <v>0</v>
      </c>
      <c r="AJ84" s="67">
        <f t="shared" ref="AJ84:BO84" si="63">SUM(AJ83:AJ83)</f>
        <v>0</v>
      </c>
      <c r="AK84" s="67">
        <f t="shared" si="63"/>
        <v>0</v>
      </c>
      <c r="AL84" s="67">
        <f t="shared" si="63"/>
        <v>0</v>
      </c>
      <c r="AM84" s="67">
        <f t="shared" si="63"/>
        <v>0</v>
      </c>
      <c r="AN84" s="67">
        <f t="shared" si="63"/>
        <v>0</v>
      </c>
      <c r="AO84" s="67">
        <f t="shared" si="63"/>
        <v>0</v>
      </c>
      <c r="AP84" s="68">
        <f t="shared" si="63"/>
        <v>0</v>
      </c>
      <c r="AQ84" s="67">
        <f t="shared" si="63"/>
        <v>0</v>
      </c>
      <c r="AR84" s="67">
        <f t="shared" si="63"/>
        <v>0</v>
      </c>
      <c r="AS84" s="67">
        <f t="shared" si="63"/>
        <v>0</v>
      </c>
      <c r="AT84" s="67">
        <f t="shared" si="63"/>
        <v>0</v>
      </c>
      <c r="AU84" s="67">
        <f t="shared" si="63"/>
        <v>0</v>
      </c>
      <c r="AV84" s="67">
        <f t="shared" si="63"/>
        <v>0</v>
      </c>
      <c r="AW84" s="67">
        <f t="shared" si="63"/>
        <v>0</v>
      </c>
      <c r="AX84" s="67">
        <f t="shared" si="63"/>
        <v>0</v>
      </c>
      <c r="AY84" s="67">
        <f t="shared" si="63"/>
        <v>0</v>
      </c>
      <c r="AZ84" s="67">
        <f t="shared" si="63"/>
        <v>0</v>
      </c>
      <c r="BA84" s="67">
        <f t="shared" si="63"/>
        <v>0</v>
      </c>
      <c r="BB84" s="67">
        <f t="shared" si="63"/>
        <v>0</v>
      </c>
      <c r="BC84" s="68">
        <f t="shared" si="63"/>
        <v>0</v>
      </c>
      <c r="BD84" s="67">
        <f t="shared" si="63"/>
        <v>0</v>
      </c>
      <c r="BE84" s="67">
        <f t="shared" si="63"/>
        <v>0</v>
      </c>
      <c r="BF84" s="67">
        <f t="shared" si="63"/>
        <v>0</v>
      </c>
      <c r="BG84" s="67">
        <f t="shared" si="63"/>
        <v>0</v>
      </c>
      <c r="BH84" s="67">
        <f t="shared" si="63"/>
        <v>0</v>
      </c>
      <c r="BI84" s="67">
        <f t="shared" si="63"/>
        <v>0</v>
      </c>
      <c r="BJ84" s="67">
        <f t="shared" si="63"/>
        <v>0</v>
      </c>
      <c r="BK84" s="67">
        <f t="shared" si="63"/>
        <v>0</v>
      </c>
      <c r="BL84" s="67">
        <f t="shared" si="63"/>
        <v>0</v>
      </c>
      <c r="BM84" s="67">
        <f t="shared" si="63"/>
        <v>0</v>
      </c>
      <c r="BN84" s="67">
        <f t="shared" si="63"/>
        <v>0</v>
      </c>
      <c r="BO84" s="67">
        <f t="shared" si="63"/>
        <v>0</v>
      </c>
      <c r="BP84" s="68">
        <f t="shared" ref="BP84:CU84" si="64">SUM(BP83:BP83)</f>
        <v>0</v>
      </c>
    </row>
    <row r="86" spans="1:68" s="8" customFormat="1" x14ac:dyDescent="0.25">
      <c r="A86" s="38" t="s">
        <v>116</v>
      </c>
      <c r="B86" s="39"/>
      <c r="C86" s="38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1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1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1"/>
      <c r="AQ86" s="42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1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1"/>
    </row>
    <row r="87" spans="1:68" x14ac:dyDescent="0.25">
      <c r="A87" t="s">
        <v>117</v>
      </c>
      <c r="B87" s="2" t="s">
        <v>118</v>
      </c>
      <c r="D87" s="3">
        <v>-1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4">
        <f>SUM(D87:O87)</f>
        <v>-1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4">
        <f>SUM(Q87:AB87)</f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4">
        <f>SUM(AD87:AO87)</f>
        <v>0</v>
      </c>
      <c r="AQ87" s="5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4">
        <f>SUM(AQ87:BB87)</f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4">
        <f>SUM(BD87:BO87)</f>
        <v>0</v>
      </c>
    </row>
    <row r="88" spans="1:68" s="14" customFormat="1" x14ac:dyDescent="0.25">
      <c r="A88" s="64" t="s">
        <v>20</v>
      </c>
      <c r="B88" s="65"/>
      <c r="C88" s="66" t="s">
        <v>119</v>
      </c>
      <c r="D88" s="67">
        <f t="shared" ref="D88:AI88" si="65">SUM(D87:D87)</f>
        <v>-1</v>
      </c>
      <c r="E88" s="67">
        <f t="shared" si="65"/>
        <v>0</v>
      </c>
      <c r="F88" s="67">
        <f t="shared" si="65"/>
        <v>0</v>
      </c>
      <c r="G88" s="67">
        <f t="shared" si="65"/>
        <v>0</v>
      </c>
      <c r="H88" s="67">
        <f t="shared" si="65"/>
        <v>0</v>
      </c>
      <c r="I88" s="67">
        <f t="shared" si="65"/>
        <v>0</v>
      </c>
      <c r="J88" s="67">
        <f t="shared" si="65"/>
        <v>0</v>
      </c>
      <c r="K88" s="67">
        <f t="shared" si="65"/>
        <v>0</v>
      </c>
      <c r="L88" s="67">
        <f t="shared" si="65"/>
        <v>0</v>
      </c>
      <c r="M88" s="67">
        <f t="shared" si="65"/>
        <v>0</v>
      </c>
      <c r="N88" s="67">
        <f t="shared" si="65"/>
        <v>0</v>
      </c>
      <c r="O88" s="67">
        <f t="shared" si="65"/>
        <v>0</v>
      </c>
      <c r="P88" s="68">
        <f t="shared" si="65"/>
        <v>-1</v>
      </c>
      <c r="Q88" s="67">
        <f t="shared" si="65"/>
        <v>0</v>
      </c>
      <c r="R88" s="67">
        <f t="shared" si="65"/>
        <v>0</v>
      </c>
      <c r="S88" s="67">
        <f t="shared" si="65"/>
        <v>0</v>
      </c>
      <c r="T88" s="67">
        <f t="shared" si="65"/>
        <v>0</v>
      </c>
      <c r="U88" s="67">
        <f t="shared" si="65"/>
        <v>0</v>
      </c>
      <c r="V88" s="67">
        <f t="shared" si="65"/>
        <v>0</v>
      </c>
      <c r="W88" s="67">
        <f t="shared" si="65"/>
        <v>0</v>
      </c>
      <c r="X88" s="67">
        <f t="shared" si="65"/>
        <v>0</v>
      </c>
      <c r="Y88" s="67">
        <f t="shared" si="65"/>
        <v>0</v>
      </c>
      <c r="Z88" s="67">
        <f t="shared" si="65"/>
        <v>0</v>
      </c>
      <c r="AA88" s="67">
        <f t="shared" si="65"/>
        <v>0</v>
      </c>
      <c r="AB88" s="67">
        <f t="shared" si="65"/>
        <v>0</v>
      </c>
      <c r="AC88" s="68">
        <f t="shared" si="65"/>
        <v>0</v>
      </c>
      <c r="AD88" s="67">
        <f t="shared" si="65"/>
        <v>0</v>
      </c>
      <c r="AE88" s="67">
        <f t="shared" si="65"/>
        <v>0</v>
      </c>
      <c r="AF88" s="67">
        <f t="shared" si="65"/>
        <v>0</v>
      </c>
      <c r="AG88" s="67">
        <f t="shared" si="65"/>
        <v>0</v>
      </c>
      <c r="AH88" s="67">
        <f t="shared" si="65"/>
        <v>0</v>
      </c>
      <c r="AI88" s="67">
        <f t="shared" si="65"/>
        <v>0</v>
      </c>
      <c r="AJ88" s="67">
        <f t="shared" ref="AJ88:BO88" si="66">SUM(AJ87:AJ87)</f>
        <v>0</v>
      </c>
      <c r="AK88" s="67">
        <f t="shared" si="66"/>
        <v>0</v>
      </c>
      <c r="AL88" s="67">
        <f t="shared" si="66"/>
        <v>0</v>
      </c>
      <c r="AM88" s="67">
        <f t="shared" si="66"/>
        <v>0</v>
      </c>
      <c r="AN88" s="67">
        <f t="shared" si="66"/>
        <v>0</v>
      </c>
      <c r="AO88" s="67">
        <f t="shared" si="66"/>
        <v>0</v>
      </c>
      <c r="AP88" s="68">
        <f t="shared" si="66"/>
        <v>0</v>
      </c>
      <c r="AQ88" s="67">
        <f t="shared" si="66"/>
        <v>0</v>
      </c>
      <c r="AR88" s="67">
        <f t="shared" si="66"/>
        <v>0</v>
      </c>
      <c r="AS88" s="67">
        <f t="shared" si="66"/>
        <v>0</v>
      </c>
      <c r="AT88" s="67">
        <f t="shared" si="66"/>
        <v>0</v>
      </c>
      <c r="AU88" s="67">
        <f t="shared" si="66"/>
        <v>0</v>
      </c>
      <c r="AV88" s="67">
        <f t="shared" si="66"/>
        <v>0</v>
      </c>
      <c r="AW88" s="67">
        <f t="shared" si="66"/>
        <v>0</v>
      </c>
      <c r="AX88" s="67">
        <f t="shared" si="66"/>
        <v>0</v>
      </c>
      <c r="AY88" s="67">
        <f t="shared" si="66"/>
        <v>0</v>
      </c>
      <c r="AZ88" s="67">
        <f t="shared" si="66"/>
        <v>0</v>
      </c>
      <c r="BA88" s="67">
        <f t="shared" si="66"/>
        <v>0</v>
      </c>
      <c r="BB88" s="67">
        <f t="shared" si="66"/>
        <v>0</v>
      </c>
      <c r="BC88" s="68">
        <f t="shared" si="66"/>
        <v>0</v>
      </c>
      <c r="BD88" s="67">
        <f t="shared" si="66"/>
        <v>0</v>
      </c>
      <c r="BE88" s="67">
        <f t="shared" si="66"/>
        <v>0</v>
      </c>
      <c r="BF88" s="67">
        <f t="shared" si="66"/>
        <v>0</v>
      </c>
      <c r="BG88" s="67">
        <f t="shared" si="66"/>
        <v>0</v>
      </c>
      <c r="BH88" s="67">
        <f t="shared" si="66"/>
        <v>0</v>
      </c>
      <c r="BI88" s="67">
        <f t="shared" si="66"/>
        <v>0</v>
      </c>
      <c r="BJ88" s="67">
        <f t="shared" si="66"/>
        <v>0</v>
      </c>
      <c r="BK88" s="67">
        <f t="shared" si="66"/>
        <v>0</v>
      </c>
      <c r="BL88" s="67">
        <f t="shared" si="66"/>
        <v>0</v>
      </c>
      <c r="BM88" s="67">
        <f t="shared" si="66"/>
        <v>0</v>
      </c>
      <c r="BN88" s="67">
        <f t="shared" si="66"/>
        <v>0</v>
      </c>
      <c r="BO88" s="67">
        <f t="shared" si="66"/>
        <v>0</v>
      </c>
      <c r="BP88" s="68">
        <f t="shared" ref="BP88:CU88" si="67">SUM(BP87:BP87)</f>
        <v>0</v>
      </c>
    </row>
    <row r="90" spans="1:68" s="8" customFormat="1" x14ac:dyDescent="0.25">
      <c r="A90" s="38" t="s">
        <v>120</v>
      </c>
      <c r="B90" s="39"/>
      <c r="C90" s="38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1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1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1"/>
      <c r="AQ90" s="42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1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1"/>
    </row>
    <row r="91" spans="1:68" x14ac:dyDescent="0.25">
      <c r="A91" t="s">
        <v>121</v>
      </c>
      <c r="B91" s="2" t="s">
        <v>122</v>
      </c>
      <c r="D91" s="3">
        <v>5000</v>
      </c>
      <c r="E91" s="3">
        <v>-1200</v>
      </c>
      <c r="F91" s="3">
        <v>0</v>
      </c>
      <c r="G91" s="3">
        <v>-800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4">
        <f>SUM(D91:O91)</f>
        <v>3000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4">
        <f>SUM(Q91:AB91)</f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4">
        <f>SUM(AD91:AO91)</f>
        <v>0</v>
      </c>
      <c r="AQ91" s="5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4">
        <f>SUM(AQ91:BB91)</f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4">
        <f>SUM(BD91:BO91)</f>
        <v>0</v>
      </c>
    </row>
    <row r="92" spans="1:68" s="10" customFormat="1" x14ac:dyDescent="0.25">
      <c r="A92" s="48" t="s">
        <v>20</v>
      </c>
      <c r="B92" s="49"/>
      <c r="C92" s="50" t="s">
        <v>123</v>
      </c>
      <c r="D92" s="51">
        <f t="shared" ref="D92:AI92" si="68">SUM(D91:D91)*-1</f>
        <v>-5000</v>
      </c>
      <c r="E92" s="51">
        <f t="shared" si="68"/>
        <v>1200</v>
      </c>
      <c r="F92" s="51">
        <f t="shared" si="68"/>
        <v>0</v>
      </c>
      <c r="G92" s="51">
        <f t="shared" si="68"/>
        <v>800</v>
      </c>
      <c r="H92" s="51">
        <f t="shared" si="68"/>
        <v>0</v>
      </c>
      <c r="I92" s="51">
        <f t="shared" si="68"/>
        <v>0</v>
      </c>
      <c r="J92" s="51">
        <f t="shared" si="68"/>
        <v>0</v>
      </c>
      <c r="K92" s="51">
        <f t="shared" si="68"/>
        <v>0</v>
      </c>
      <c r="L92" s="51">
        <f t="shared" si="68"/>
        <v>0</v>
      </c>
      <c r="M92" s="51">
        <f t="shared" si="68"/>
        <v>0</v>
      </c>
      <c r="N92" s="51">
        <f t="shared" si="68"/>
        <v>0</v>
      </c>
      <c r="O92" s="51">
        <f t="shared" si="68"/>
        <v>0</v>
      </c>
      <c r="P92" s="52">
        <f t="shared" si="68"/>
        <v>-3000</v>
      </c>
      <c r="Q92" s="51">
        <f t="shared" si="68"/>
        <v>0</v>
      </c>
      <c r="R92" s="51">
        <f t="shared" si="68"/>
        <v>0</v>
      </c>
      <c r="S92" s="51">
        <f t="shared" si="68"/>
        <v>0</v>
      </c>
      <c r="T92" s="51">
        <f t="shared" si="68"/>
        <v>0</v>
      </c>
      <c r="U92" s="51">
        <f t="shared" si="68"/>
        <v>0</v>
      </c>
      <c r="V92" s="51">
        <f t="shared" si="68"/>
        <v>0</v>
      </c>
      <c r="W92" s="51">
        <f t="shared" si="68"/>
        <v>0</v>
      </c>
      <c r="X92" s="51">
        <f t="shared" si="68"/>
        <v>0</v>
      </c>
      <c r="Y92" s="51">
        <f t="shared" si="68"/>
        <v>0</v>
      </c>
      <c r="Z92" s="51">
        <f t="shared" si="68"/>
        <v>0</v>
      </c>
      <c r="AA92" s="51">
        <f t="shared" si="68"/>
        <v>0</v>
      </c>
      <c r="AB92" s="51">
        <f t="shared" si="68"/>
        <v>0</v>
      </c>
      <c r="AC92" s="52">
        <f t="shared" si="68"/>
        <v>0</v>
      </c>
      <c r="AD92" s="51">
        <f t="shared" si="68"/>
        <v>0</v>
      </c>
      <c r="AE92" s="51">
        <f t="shared" si="68"/>
        <v>0</v>
      </c>
      <c r="AF92" s="51">
        <f t="shared" si="68"/>
        <v>0</v>
      </c>
      <c r="AG92" s="51">
        <f t="shared" si="68"/>
        <v>0</v>
      </c>
      <c r="AH92" s="51">
        <f t="shared" si="68"/>
        <v>0</v>
      </c>
      <c r="AI92" s="51">
        <f t="shared" si="68"/>
        <v>0</v>
      </c>
      <c r="AJ92" s="51">
        <f t="shared" ref="AJ92:BO92" si="69">SUM(AJ91:AJ91)*-1</f>
        <v>0</v>
      </c>
      <c r="AK92" s="51">
        <f t="shared" si="69"/>
        <v>0</v>
      </c>
      <c r="AL92" s="51">
        <f t="shared" si="69"/>
        <v>0</v>
      </c>
      <c r="AM92" s="51">
        <f t="shared" si="69"/>
        <v>0</v>
      </c>
      <c r="AN92" s="51">
        <f t="shared" si="69"/>
        <v>0</v>
      </c>
      <c r="AO92" s="51">
        <f t="shared" si="69"/>
        <v>0</v>
      </c>
      <c r="AP92" s="52">
        <f t="shared" si="69"/>
        <v>0</v>
      </c>
      <c r="AQ92" s="51">
        <f t="shared" si="69"/>
        <v>0</v>
      </c>
      <c r="AR92" s="51">
        <f t="shared" si="69"/>
        <v>0</v>
      </c>
      <c r="AS92" s="51">
        <f t="shared" si="69"/>
        <v>0</v>
      </c>
      <c r="AT92" s="51">
        <f t="shared" si="69"/>
        <v>0</v>
      </c>
      <c r="AU92" s="51">
        <f t="shared" si="69"/>
        <v>0</v>
      </c>
      <c r="AV92" s="51">
        <f t="shared" si="69"/>
        <v>0</v>
      </c>
      <c r="AW92" s="51">
        <f t="shared" si="69"/>
        <v>0</v>
      </c>
      <c r="AX92" s="51">
        <f t="shared" si="69"/>
        <v>0</v>
      </c>
      <c r="AY92" s="51">
        <f t="shared" si="69"/>
        <v>0</v>
      </c>
      <c r="AZ92" s="51">
        <f t="shared" si="69"/>
        <v>0</v>
      </c>
      <c r="BA92" s="51">
        <f t="shared" si="69"/>
        <v>0</v>
      </c>
      <c r="BB92" s="51">
        <f t="shared" si="69"/>
        <v>0</v>
      </c>
      <c r="BC92" s="52">
        <f t="shared" si="69"/>
        <v>0</v>
      </c>
      <c r="BD92" s="51">
        <f t="shared" si="69"/>
        <v>0</v>
      </c>
      <c r="BE92" s="51">
        <f t="shared" si="69"/>
        <v>0</v>
      </c>
      <c r="BF92" s="51">
        <f t="shared" si="69"/>
        <v>0</v>
      </c>
      <c r="BG92" s="51">
        <f t="shared" si="69"/>
        <v>0</v>
      </c>
      <c r="BH92" s="51">
        <f t="shared" si="69"/>
        <v>0</v>
      </c>
      <c r="BI92" s="51">
        <f t="shared" si="69"/>
        <v>0</v>
      </c>
      <c r="BJ92" s="51">
        <f t="shared" si="69"/>
        <v>0</v>
      </c>
      <c r="BK92" s="51">
        <f t="shared" si="69"/>
        <v>0</v>
      </c>
      <c r="BL92" s="51">
        <f t="shared" si="69"/>
        <v>0</v>
      </c>
      <c r="BM92" s="51">
        <f t="shared" si="69"/>
        <v>0</v>
      </c>
      <c r="BN92" s="51">
        <f t="shared" si="69"/>
        <v>0</v>
      </c>
      <c r="BO92" s="51">
        <f t="shared" si="69"/>
        <v>0</v>
      </c>
      <c r="BP92" s="52">
        <f t="shared" ref="BP92:CU92" si="70">SUM(BP91:BP91)*-1</f>
        <v>0</v>
      </c>
    </row>
    <row r="94" spans="1:68" s="11" customFormat="1" x14ac:dyDescent="0.25">
      <c r="A94" s="11" t="s">
        <v>98</v>
      </c>
      <c r="B94" s="53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5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5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5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5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5"/>
    </row>
    <row r="95" spans="1:68" customFormat="1" x14ac:dyDescent="0.25">
      <c r="A95" t="s">
        <v>103</v>
      </c>
      <c r="B95" s="2" t="s">
        <v>100</v>
      </c>
      <c r="D95" s="27">
        <f t="shared" ref="D95:AI95" si="71">D72</f>
        <v>0</v>
      </c>
      <c r="E95" s="27">
        <f t="shared" si="71"/>
        <v>0</v>
      </c>
      <c r="F95" s="27">
        <f t="shared" si="71"/>
        <v>0</v>
      </c>
      <c r="G95" s="27">
        <f t="shared" si="71"/>
        <v>0</v>
      </c>
      <c r="H95" s="27">
        <f t="shared" si="71"/>
        <v>0</v>
      </c>
      <c r="I95" s="27">
        <f t="shared" si="71"/>
        <v>0</v>
      </c>
      <c r="J95" s="27">
        <f t="shared" si="71"/>
        <v>0</v>
      </c>
      <c r="K95" s="27">
        <f t="shared" si="71"/>
        <v>0</v>
      </c>
      <c r="L95" s="27">
        <f t="shared" si="71"/>
        <v>0</v>
      </c>
      <c r="M95" s="27">
        <f t="shared" si="71"/>
        <v>0</v>
      </c>
      <c r="N95" s="27">
        <f t="shared" si="71"/>
        <v>0</v>
      </c>
      <c r="O95" s="27">
        <f t="shared" si="71"/>
        <v>0</v>
      </c>
      <c r="P95" s="4">
        <f t="shared" si="71"/>
        <v>0</v>
      </c>
      <c r="Q95" s="27">
        <f t="shared" si="71"/>
        <v>0</v>
      </c>
      <c r="R95" s="27">
        <f t="shared" si="71"/>
        <v>0</v>
      </c>
      <c r="S95" s="27">
        <f t="shared" si="71"/>
        <v>0</v>
      </c>
      <c r="T95" s="27">
        <f t="shared" si="71"/>
        <v>0</v>
      </c>
      <c r="U95" s="27">
        <f t="shared" si="71"/>
        <v>0</v>
      </c>
      <c r="V95" s="27">
        <f t="shared" si="71"/>
        <v>0</v>
      </c>
      <c r="W95" s="27">
        <f t="shared" si="71"/>
        <v>0</v>
      </c>
      <c r="X95" s="27">
        <f t="shared" si="71"/>
        <v>0</v>
      </c>
      <c r="Y95" s="27">
        <f t="shared" si="71"/>
        <v>0</v>
      </c>
      <c r="Z95" s="27">
        <f t="shared" si="71"/>
        <v>0</v>
      </c>
      <c r="AA95" s="27">
        <f t="shared" si="71"/>
        <v>0</v>
      </c>
      <c r="AB95" s="27">
        <f t="shared" si="71"/>
        <v>0</v>
      </c>
      <c r="AC95" s="4">
        <f t="shared" si="71"/>
        <v>0</v>
      </c>
      <c r="AD95" s="27">
        <f t="shared" si="71"/>
        <v>0</v>
      </c>
      <c r="AE95" s="27">
        <f t="shared" si="71"/>
        <v>0</v>
      </c>
      <c r="AF95" s="27">
        <f t="shared" si="71"/>
        <v>0</v>
      </c>
      <c r="AG95" s="27">
        <f t="shared" si="71"/>
        <v>0</v>
      </c>
      <c r="AH95" s="27">
        <f t="shared" si="71"/>
        <v>0</v>
      </c>
      <c r="AI95" s="27">
        <f t="shared" si="71"/>
        <v>0</v>
      </c>
      <c r="AJ95" s="27">
        <f t="shared" ref="AJ95:BP95" si="72">AJ72</f>
        <v>0</v>
      </c>
      <c r="AK95" s="27">
        <f t="shared" si="72"/>
        <v>0</v>
      </c>
      <c r="AL95" s="27">
        <f t="shared" si="72"/>
        <v>0</v>
      </c>
      <c r="AM95" s="27">
        <f t="shared" si="72"/>
        <v>0</v>
      </c>
      <c r="AN95" s="27">
        <f t="shared" si="72"/>
        <v>0</v>
      </c>
      <c r="AO95" s="27">
        <f t="shared" si="72"/>
        <v>0</v>
      </c>
      <c r="AP95" s="4">
        <f t="shared" si="72"/>
        <v>0</v>
      </c>
      <c r="AQ95" s="28">
        <f t="shared" si="72"/>
        <v>0</v>
      </c>
      <c r="AR95" s="27">
        <f t="shared" si="72"/>
        <v>0</v>
      </c>
      <c r="AS95" s="27">
        <f t="shared" si="72"/>
        <v>0</v>
      </c>
      <c r="AT95" s="27">
        <f t="shared" si="72"/>
        <v>0</v>
      </c>
      <c r="AU95" s="27">
        <f t="shared" si="72"/>
        <v>0</v>
      </c>
      <c r="AV95" s="27">
        <f t="shared" si="72"/>
        <v>0</v>
      </c>
      <c r="AW95" s="27">
        <f t="shared" si="72"/>
        <v>0</v>
      </c>
      <c r="AX95" s="27">
        <f t="shared" si="72"/>
        <v>0</v>
      </c>
      <c r="AY95" s="27">
        <f t="shared" si="72"/>
        <v>0</v>
      </c>
      <c r="AZ95" s="27">
        <f t="shared" si="72"/>
        <v>0</v>
      </c>
      <c r="BA95" s="27">
        <f t="shared" si="72"/>
        <v>0</v>
      </c>
      <c r="BB95" s="27">
        <f t="shared" si="72"/>
        <v>0</v>
      </c>
      <c r="BC95" s="4">
        <f t="shared" si="72"/>
        <v>0</v>
      </c>
      <c r="BD95" s="27">
        <f t="shared" si="72"/>
        <v>0</v>
      </c>
      <c r="BE95" s="27">
        <f t="shared" si="72"/>
        <v>0</v>
      </c>
      <c r="BF95" s="27">
        <f t="shared" si="72"/>
        <v>0</v>
      </c>
      <c r="BG95" s="27">
        <f t="shared" si="72"/>
        <v>0</v>
      </c>
      <c r="BH95" s="27">
        <f t="shared" si="72"/>
        <v>0</v>
      </c>
      <c r="BI95" s="27">
        <f t="shared" si="72"/>
        <v>0</v>
      </c>
      <c r="BJ95" s="27">
        <f t="shared" si="72"/>
        <v>0</v>
      </c>
      <c r="BK95" s="27">
        <f t="shared" si="72"/>
        <v>0</v>
      </c>
      <c r="BL95" s="27">
        <f t="shared" si="72"/>
        <v>0</v>
      </c>
      <c r="BM95" s="27">
        <f t="shared" si="72"/>
        <v>0</v>
      </c>
      <c r="BN95" s="27">
        <f t="shared" si="72"/>
        <v>0</v>
      </c>
      <c r="BO95" s="27">
        <f t="shared" si="72"/>
        <v>0</v>
      </c>
      <c r="BP95" s="4">
        <f t="shared" si="72"/>
        <v>0</v>
      </c>
    </row>
    <row r="96" spans="1:68" customFormat="1" x14ac:dyDescent="0.25">
      <c r="A96" t="s">
        <v>107</v>
      </c>
      <c r="B96" s="2" t="s">
        <v>104</v>
      </c>
      <c r="D96" s="27">
        <f t="shared" ref="D96:AI96" si="73">D76</f>
        <v>-3750.75</v>
      </c>
      <c r="E96" s="27">
        <f t="shared" si="73"/>
        <v>0</v>
      </c>
      <c r="F96" s="27">
        <f t="shared" si="73"/>
        <v>-3640.87</v>
      </c>
      <c r="G96" s="27">
        <f t="shared" si="73"/>
        <v>-9572.41</v>
      </c>
      <c r="H96" s="27">
        <f t="shared" si="73"/>
        <v>-3083.21</v>
      </c>
      <c r="I96" s="27">
        <f t="shared" si="73"/>
        <v>-13262.74</v>
      </c>
      <c r="J96" s="27">
        <f t="shared" si="73"/>
        <v>-7917.7</v>
      </c>
      <c r="K96" s="27">
        <f t="shared" si="73"/>
        <v>-9869.66</v>
      </c>
      <c r="L96" s="27">
        <f t="shared" si="73"/>
        <v>-12190.42</v>
      </c>
      <c r="M96" s="27">
        <f t="shared" si="73"/>
        <v>-20783.47</v>
      </c>
      <c r="N96" s="27">
        <f t="shared" si="73"/>
        <v>-16696.400000000001</v>
      </c>
      <c r="O96" s="27">
        <f t="shared" si="73"/>
        <v>-21769.439999999999</v>
      </c>
      <c r="P96" s="4">
        <f t="shared" si="73"/>
        <v>-122537.07</v>
      </c>
      <c r="Q96" s="27">
        <f t="shared" si="73"/>
        <v>-4997.45</v>
      </c>
      <c r="R96" s="27">
        <f t="shared" si="73"/>
        <v>-15451.24</v>
      </c>
      <c r="S96" s="27">
        <f t="shared" si="73"/>
        <v>-17231.400000000001</v>
      </c>
      <c r="T96" s="27">
        <f t="shared" si="73"/>
        <v>-23032.66</v>
      </c>
      <c r="U96" s="27">
        <f t="shared" si="73"/>
        <v>-13125.34</v>
      </c>
      <c r="V96" s="27">
        <f t="shared" si="73"/>
        <v>-24670.75</v>
      </c>
      <c r="W96" s="27">
        <f t="shared" si="73"/>
        <v>-20926.77</v>
      </c>
      <c r="X96" s="27">
        <f t="shared" si="73"/>
        <v>-14812.35</v>
      </c>
      <c r="Y96" s="27">
        <f t="shared" si="73"/>
        <v>-10492.88</v>
      </c>
      <c r="Z96" s="27">
        <f t="shared" si="73"/>
        <v>-53400.223610000001</v>
      </c>
      <c r="AA96" s="27">
        <f t="shared" si="73"/>
        <v>-10295.209999999999</v>
      </c>
      <c r="AB96" s="27">
        <f t="shared" si="73"/>
        <v>-20517.62</v>
      </c>
      <c r="AC96" s="4">
        <f t="shared" si="73"/>
        <v>-228953.89361</v>
      </c>
      <c r="AD96" s="27">
        <f t="shared" si="73"/>
        <v>-574.29</v>
      </c>
      <c r="AE96" s="27">
        <f t="shared" si="73"/>
        <v>-3074.83</v>
      </c>
      <c r="AF96" s="27">
        <f t="shared" si="73"/>
        <v>-12482.87</v>
      </c>
      <c r="AG96" s="27">
        <f t="shared" si="73"/>
        <v>-25876.18</v>
      </c>
      <c r="AH96" s="27">
        <f t="shared" si="73"/>
        <v>-5631.54</v>
      </c>
      <c r="AI96" s="27">
        <f t="shared" si="73"/>
        <v>-29334.29</v>
      </c>
      <c r="AJ96" s="27">
        <f t="shared" ref="AJ96:BP96" si="74">AJ76</f>
        <v>-14060.04</v>
      </c>
      <c r="AK96" s="27">
        <f t="shared" si="74"/>
        <v>-5790.11</v>
      </c>
      <c r="AL96" s="27">
        <f t="shared" si="74"/>
        <v>-8516.4500000000007</v>
      </c>
      <c r="AM96" s="27">
        <f t="shared" si="74"/>
        <v>-54247.070910000002</v>
      </c>
      <c r="AN96" s="27">
        <f t="shared" si="74"/>
        <v>-18379.82</v>
      </c>
      <c r="AO96" s="27">
        <f t="shared" si="74"/>
        <v>-19266.919999999998</v>
      </c>
      <c r="AP96" s="4">
        <f t="shared" si="74"/>
        <v>-197234.41091000004</v>
      </c>
      <c r="AQ96" s="28">
        <f t="shared" si="74"/>
        <v>0</v>
      </c>
      <c r="AR96" s="27">
        <f t="shared" si="74"/>
        <v>0</v>
      </c>
      <c r="AS96" s="27">
        <f t="shared" si="74"/>
        <v>0</v>
      </c>
      <c r="AT96" s="27">
        <f t="shared" si="74"/>
        <v>0</v>
      </c>
      <c r="AU96" s="27">
        <f t="shared" si="74"/>
        <v>0</v>
      </c>
      <c r="AV96" s="27">
        <f t="shared" si="74"/>
        <v>0</v>
      </c>
      <c r="AW96" s="27">
        <f t="shared" si="74"/>
        <v>0</v>
      </c>
      <c r="AX96" s="27">
        <f t="shared" si="74"/>
        <v>0</v>
      </c>
      <c r="AY96" s="27">
        <f t="shared" si="74"/>
        <v>0</v>
      </c>
      <c r="AZ96" s="27">
        <f t="shared" si="74"/>
        <v>0</v>
      </c>
      <c r="BA96" s="27">
        <f t="shared" si="74"/>
        <v>0</v>
      </c>
      <c r="BB96" s="27">
        <f t="shared" si="74"/>
        <v>0</v>
      </c>
      <c r="BC96" s="4">
        <f t="shared" si="74"/>
        <v>0</v>
      </c>
      <c r="BD96" s="27">
        <f t="shared" si="74"/>
        <v>0</v>
      </c>
      <c r="BE96" s="27">
        <f t="shared" si="74"/>
        <v>0</v>
      </c>
      <c r="BF96" s="27">
        <f t="shared" si="74"/>
        <v>0</v>
      </c>
      <c r="BG96" s="27">
        <f t="shared" si="74"/>
        <v>0</v>
      </c>
      <c r="BH96" s="27">
        <f t="shared" si="74"/>
        <v>0</v>
      </c>
      <c r="BI96" s="27">
        <f t="shared" si="74"/>
        <v>0</v>
      </c>
      <c r="BJ96" s="27">
        <f t="shared" si="74"/>
        <v>0</v>
      </c>
      <c r="BK96" s="27">
        <f t="shared" si="74"/>
        <v>0</v>
      </c>
      <c r="BL96" s="27">
        <f t="shared" si="74"/>
        <v>0</v>
      </c>
      <c r="BM96" s="27">
        <f t="shared" si="74"/>
        <v>0</v>
      </c>
      <c r="BN96" s="27">
        <f t="shared" si="74"/>
        <v>0</v>
      </c>
      <c r="BO96" s="27">
        <f t="shared" si="74"/>
        <v>0</v>
      </c>
      <c r="BP96" s="4">
        <f t="shared" si="74"/>
        <v>0</v>
      </c>
    </row>
    <row r="97" spans="1:68" customFormat="1" x14ac:dyDescent="0.25">
      <c r="A97" t="s">
        <v>111</v>
      </c>
      <c r="B97" s="2" t="s">
        <v>108</v>
      </c>
      <c r="D97" s="27">
        <f t="shared" ref="D97:AI97" si="75">D80</f>
        <v>3750.75</v>
      </c>
      <c r="E97" s="27">
        <f t="shared" si="75"/>
        <v>0</v>
      </c>
      <c r="F97" s="27">
        <f t="shared" si="75"/>
        <v>3640.87</v>
      </c>
      <c r="G97" s="27">
        <f t="shared" si="75"/>
        <v>9572.41</v>
      </c>
      <c r="H97" s="27">
        <f t="shared" si="75"/>
        <v>3083.21</v>
      </c>
      <c r="I97" s="27">
        <f t="shared" si="75"/>
        <v>13262.74</v>
      </c>
      <c r="J97" s="27">
        <f t="shared" si="75"/>
        <v>7917.7</v>
      </c>
      <c r="K97" s="27">
        <f t="shared" si="75"/>
        <v>9869.66</v>
      </c>
      <c r="L97" s="27">
        <f t="shared" si="75"/>
        <v>12190.42</v>
      </c>
      <c r="M97" s="27">
        <f t="shared" si="75"/>
        <v>20783.47</v>
      </c>
      <c r="N97" s="27">
        <f t="shared" si="75"/>
        <v>16696.400000000001</v>
      </c>
      <c r="O97" s="27">
        <f t="shared" si="75"/>
        <v>21769.439999999999</v>
      </c>
      <c r="P97" s="4">
        <f t="shared" si="75"/>
        <v>122537.07</v>
      </c>
      <c r="Q97" s="27">
        <f t="shared" si="75"/>
        <v>4997.45</v>
      </c>
      <c r="R97" s="27">
        <f t="shared" si="75"/>
        <v>15451.24</v>
      </c>
      <c r="S97" s="27">
        <f t="shared" si="75"/>
        <v>17231.400000000001</v>
      </c>
      <c r="T97" s="27">
        <f t="shared" si="75"/>
        <v>23032.66</v>
      </c>
      <c r="U97" s="27">
        <f t="shared" si="75"/>
        <v>13125.34</v>
      </c>
      <c r="V97" s="27">
        <f t="shared" si="75"/>
        <v>24670.75</v>
      </c>
      <c r="W97" s="27">
        <f t="shared" si="75"/>
        <v>20926.77</v>
      </c>
      <c r="X97" s="27">
        <f t="shared" si="75"/>
        <v>14812.35</v>
      </c>
      <c r="Y97" s="27">
        <f t="shared" si="75"/>
        <v>10492.88</v>
      </c>
      <c r="Z97" s="27">
        <f t="shared" si="75"/>
        <v>53400.223610000001</v>
      </c>
      <c r="AA97" s="27">
        <f t="shared" si="75"/>
        <v>10295.209999999999</v>
      </c>
      <c r="AB97" s="27">
        <f t="shared" si="75"/>
        <v>20517.62</v>
      </c>
      <c r="AC97" s="4">
        <f t="shared" si="75"/>
        <v>228953.89361</v>
      </c>
      <c r="AD97" s="27">
        <f t="shared" si="75"/>
        <v>574.29</v>
      </c>
      <c r="AE97" s="27">
        <f t="shared" si="75"/>
        <v>3074.83</v>
      </c>
      <c r="AF97" s="27">
        <f t="shared" si="75"/>
        <v>12482.87</v>
      </c>
      <c r="AG97" s="27">
        <f t="shared" si="75"/>
        <v>25876.18</v>
      </c>
      <c r="AH97" s="27">
        <f t="shared" si="75"/>
        <v>5631.54</v>
      </c>
      <c r="AI97" s="27">
        <f t="shared" si="75"/>
        <v>29334.29</v>
      </c>
      <c r="AJ97" s="27">
        <f t="shared" ref="AJ97:BP97" si="76">AJ80</f>
        <v>14060.04</v>
      </c>
      <c r="AK97" s="27">
        <f t="shared" si="76"/>
        <v>5790.11</v>
      </c>
      <c r="AL97" s="27">
        <f t="shared" si="76"/>
        <v>8516.4500000000007</v>
      </c>
      <c r="AM97" s="27">
        <f t="shared" si="76"/>
        <v>54247.070910000002</v>
      </c>
      <c r="AN97" s="27">
        <f t="shared" si="76"/>
        <v>18379.82</v>
      </c>
      <c r="AO97" s="27">
        <f t="shared" si="76"/>
        <v>19266.919999999998</v>
      </c>
      <c r="AP97" s="4">
        <f t="shared" si="76"/>
        <v>197234.41091000004</v>
      </c>
      <c r="AQ97" s="28">
        <f t="shared" si="76"/>
        <v>0</v>
      </c>
      <c r="AR97" s="27">
        <f t="shared" si="76"/>
        <v>0</v>
      </c>
      <c r="AS97" s="27">
        <f t="shared" si="76"/>
        <v>0</v>
      </c>
      <c r="AT97" s="27">
        <f t="shared" si="76"/>
        <v>0</v>
      </c>
      <c r="AU97" s="27">
        <f t="shared" si="76"/>
        <v>0</v>
      </c>
      <c r="AV97" s="27">
        <f t="shared" si="76"/>
        <v>0</v>
      </c>
      <c r="AW97" s="27">
        <f t="shared" si="76"/>
        <v>0</v>
      </c>
      <c r="AX97" s="27">
        <f t="shared" si="76"/>
        <v>0</v>
      </c>
      <c r="AY97" s="27">
        <f t="shared" si="76"/>
        <v>0</v>
      </c>
      <c r="AZ97" s="27">
        <f t="shared" si="76"/>
        <v>0</v>
      </c>
      <c r="BA97" s="27">
        <f t="shared" si="76"/>
        <v>0</v>
      </c>
      <c r="BB97" s="27">
        <f t="shared" si="76"/>
        <v>0</v>
      </c>
      <c r="BC97" s="4">
        <f t="shared" si="76"/>
        <v>0</v>
      </c>
      <c r="BD97" s="27">
        <f t="shared" si="76"/>
        <v>0</v>
      </c>
      <c r="BE97" s="27">
        <f t="shared" si="76"/>
        <v>0</v>
      </c>
      <c r="BF97" s="27">
        <f t="shared" si="76"/>
        <v>0</v>
      </c>
      <c r="BG97" s="27">
        <f t="shared" si="76"/>
        <v>0</v>
      </c>
      <c r="BH97" s="27">
        <f t="shared" si="76"/>
        <v>0</v>
      </c>
      <c r="BI97" s="27">
        <f t="shared" si="76"/>
        <v>0</v>
      </c>
      <c r="BJ97" s="27">
        <f t="shared" si="76"/>
        <v>0</v>
      </c>
      <c r="BK97" s="27">
        <f t="shared" si="76"/>
        <v>0</v>
      </c>
      <c r="BL97" s="27">
        <f t="shared" si="76"/>
        <v>0</v>
      </c>
      <c r="BM97" s="27">
        <f t="shared" si="76"/>
        <v>0</v>
      </c>
      <c r="BN97" s="27">
        <f t="shared" si="76"/>
        <v>0</v>
      </c>
      <c r="BO97" s="27">
        <f t="shared" si="76"/>
        <v>0</v>
      </c>
      <c r="BP97" s="4">
        <f t="shared" si="76"/>
        <v>0</v>
      </c>
    </row>
    <row r="98" spans="1:68" customFormat="1" x14ac:dyDescent="0.25">
      <c r="A98" t="s">
        <v>115</v>
      </c>
      <c r="B98" s="2" t="s">
        <v>112</v>
      </c>
      <c r="D98" s="27">
        <f t="shared" ref="D98:AI98" si="77">D84</f>
        <v>0</v>
      </c>
      <c r="E98" s="27">
        <f t="shared" si="77"/>
        <v>0</v>
      </c>
      <c r="F98" s="27">
        <f t="shared" si="77"/>
        <v>0</v>
      </c>
      <c r="G98" s="27">
        <f t="shared" si="77"/>
        <v>0</v>
      </c>
      <c r="H98" s="27">
        <f t="shared" si="77"/>
        <v>0</v>
      </c>
      <c r="I98" s="27">
        <f t="shared" si="77"/>
        <v>0</v>
      </c>
      <c r="J98" s="27">
        <f t="shared" si="77"/>
        <v>0</v>
      </c>
      <c r="K98" s="27">
        <f t="shared" si="77"/>
        <v>0</v>
      </c>
      <c r="L98" s="27">
        <f t="shared" si="77"/>
        <v>0</v>
      </c>
      <c r="M98" s="27">
        <f t="shared" si="77"/>
        <v>0</v>
      </c>
      <c r="N98" s="27">
        <f t="shared" si="77"/>
        <v>0</v>
      </c>
      <c r="O98" s="27">
        <f t="shared" si="77"/>
        <v>0</v>
      </c>
      <c r="P98" s="4">
        <f t="shared" si="77"/>
        <v>0</v>
      </c>
      <c r="Q98" s="27">
        <f t="shared" si="77"/>
        <v>0</v>
      </c>
      <c r="R98" s="27">
        <f t="shared" si="77"/>
        <v>0</v>
      </c>
      <c r="S98" s="27">
        <f t="shared" si="77"/>
        <v>0</v>
      </c>
      <c r="T98" s="27">
        <f t="shared" si="77"/>
        <v>0</v>
      </c>
      <c r="U98" s="27">
        <f t="shared" si="77"/>
        <v>0</v>
      </c>
      <c r="V98" s="27">
        <f t="shared" si="77"/>
        <v>0</v>
      </c>
      <c r="W98" s="27">
        <f t="shared" si="77"/>
        <v>0</v>
      </c>
      <c r="X98" s="27">
        <f t="shared" si="77"/>
        <v>0</v>
      </c>
      <c r="Y98" s="27">
        <f t="shared" si="77"/>
        <v>0</v>
      </c>
      <c r="Z98" s="27">
        <f t="shared" si="77"/>
        <v>0</v>
      </c>
      <c r="AA98" s="27">
        <f t="shared" si="77"/>
        <v>0</v>
      </c>
      <c r="AB98" s="27">
        <f t="shared" si="77"/>
        <v>0</v>
      </c>
      <c r="AC98" s="4">
        <f t="shared" si="77"/>
        <v>0</v>
      </c>
      <c r="AD98" s="27">
        <f t="shared" si="77"/>
        <v>0</v>
      </c>
      <c r="AE98" s="27">
        <f t="shared" si="77"/>
        <v>0</v>
      </c>
      <c r="AF98" s="27">
        <f t="shared" si="77"/>
        <v>0</v>
      </c>
      <c r="AG98" s="27">
        <f t="shared" si="77"/>
        <v>0</v>
      </c>
      <c r="AH98" s="27">
        <f t="shared" si="77"/>
        <v>0</v>
      </c>
      <c r="AI98" s="27">
        <f t="shared" si="77"/>
        <v>0</v>
      </c>
      <c r="AJ98" s="27">
        <f t="shared" ref="AJ98:BP98" si="78">AJ84</f>
        <v>0</v>
      </c>
      <c r="AK98" s="27">
        <f t="shared" si="78"/>
        <v>0</v>
      </c>
      <c r="AL98" s="27">
        <f t="shared" si="78"/>
        <v>0</v>
      </c>
      <c r="AM98" s="27">
        <f t="shared" si="78"/>
        <v>0</v>
      </c>
      <c r="AN98" s="27">
        <f t="shared" si="78"/>
        <v>0</v>
      </c>
      <c r="AO98" s="27">
        <f t="shared" si="78"/>
        <v>0</v>
      </c>
      <c r="AP98" s="4">
        <f t="shared" si="78"/>
        <v>0</v>
      </c>
      <c r="AQ98" s="28">
        <f t="shared" si="78"/>
        <v>0</v>
      </c>
      <c r="AR98" s="27">
        <f t="shared" si="78"/>
        <v>0</v>
      </c>
      <c r="AS98" s="27">
        <f t="shared" si="78"/>
        <v>0</v>
      </c>
      <c r="AT98" s="27">
        <f t="shared" si="78"/>
        <v>0</v>
      </c>
      <c r="AU98" s="27">
        <f t="shared" si="78"/>
        <v>0</v>
      </c>
      <c r="AV98" s="27">
        <f t="shared" si="78"/>
        <v>0</v>
      </c>
      <c r="AW98" s="27">
        <f t="shared" si="78"/>
        <v>0</v>
      </c>
      <c r="AX98" s="27">
        <f t="shared" si="78"/>
        <v>0</v>
      </c>
      <c r="AY98" s="27">
        <f t="shared" si="78"/>
        <v>0</v>
      </c>
      <c r="AZ98" s="27">
        <f t="shared" si="78"/>
        <v>0</v>
      </c>
      <c r="BA98" s="27">
        <f t="shared" si="78"/>
        <v>0</v>
      </c>
      <c r="BB98" s="27">
        <f t="shared" si="78"/>
        <v>0</v>
      </c>
      <c r="BC98" s="4">
        <f t="shared" si="78"/>
        <v>0</v>
      </c>
      <c r="BD98" s="27">
        <f t="shared" si="78"/>
        <v>0</v>
      </c>
      <c r="BE98" s="27">
        <f t="shared" si="78"/>
        <v>0</v>
      </c>
      <c r="BF98" s="27">
        <f t="shared" si="78"/>
        <v>0</v>
      </c>
      <c r="BG98" s="27">
        <f t="shared" si="78"/>
        <v>0</v>
      </c>
      <c r="BH98" s="27">
        <f t="shared" si="78"/>
        <v>0</v>
      </c>
      <c r="BI98" s="27">
        <f t="shared" si="78"/>
        <v>0</v>
      </c>
      <c r="BJ98" s="27">
        <f t="shared" si="78"/>
        <v>0</v>
      </c>
      <c r="BK98" s="27">
        <f t="shared" si="78"/>
        <v>0</v>
      </c>
      <c r="BL98" s="27">
        <f t="shared" si="78"/>
        <v>0</v>
      </c>
      <c r="BM98" s="27">
        <f t="shared" si="78"/>
        <v>0</v>
      </c>
      <c r="BN98" s="27">
        <f t="shared" si="78"/>
        <v>0</v>
      </c>
      <c r="BO98" s="27">
        <f t="shared" si="78"/>
        <v>0</v>
      </c>
      <c r="BP98" s="4">
        <f t="shared" si="78"/>
        <v>0</v>
      </c>
    </row>
    <row r="99" spans="1:68" customFormat="1" x14ac:dyDescent="0.25">
      <c r="A99" t="s">
        <v>119</v>
      </c>
      <c r="B99" s="2" t="s">
        <v>116</v>
      </c>
      <c r="D99" s="27">
        <f t="shared" ref="D99:AI99" si="79">D88</f>
        <v>-1</v>
      </c>
      <c r="E99" s="27">
        <f t="shared" si="79"/>
        <v>0</v>
      </c>
      <c r="F99" s="27">
        <f t="shared" si="79"/>
        <v>0</v>
      </c>
      <c r="G99" s="27">
        <f t="shared" si="79"/>
        <v>0</v>
      </c>
      <c r="H99" s="27">
        <f t="shared" si="79"/>
        <v>0</v>
      </c>
      <c r="I99" s="27">
        <f t="shared" si="79"/>
        <v>0</v>
      </c>
      <c r="J99" s="27">
        <f t="shared" si="79"/>
        <v>0</v>
      </c>
      <c r="K99" s="27">
        <f t="shared" si="79"/>
        <v>0</v>
      </c>
      <c r="L99" s="27">
        <f t="shared" si="79"/>
        <v>0</v>
      </c>
      <c r="M99" s="27">
        <f t="shared" si="79"/>
        <v>0</v>
      </c>
      <c r="N99" s="27">
        <f t="shared" si="79"/>
        <v>0</v>
      </c>
      <c r="O99" s="27">
        <f t="shared" si="79"/>
        <v>0</v>
      </c>
      <c r="P99" s="4">
        <f t="shared" si="79"/>
        <v>-1</v>
      </c>
      <c r="Q99" s="27">
        <f t="shared" si="79"/>
        <v>0</v>
      </c>
      <c r="R99" s="27">
        <f t="shared" si="79"/>
        <v>0</v>
      </c>
      <c r="S99" s="27">
        <f t="shared" si="79"/>
        <v>0</v>
      </c>
      <c r="T99" s="27">
        <f t="shared" si="79"/>
        <v>0</v>
      </c>
      <c r="U99" s="27">
        <f t="shared" si="79"/>
        <v>0</v>
      </c>
      <c r="V99" s="27">
        <f t="shared" si="79"/>
        <v>0</v>
      </c>
      <c r="W99" s="27">
        <f t="shared" si="79"/>
        <v>0</v>
      </c>
      <c r="X99" s="27">
        <f t="shared" si="79"/>
        <v>0</v>
      </c>
      <c r="Y99" s="27">
        <f t="shared" si="79"/>
        <v>0</v>
      </c>
      <c r="Z99" s="27">
        <f t="shared" si="79"/>
        <v>0</v>
      </c>
      <c r="AA99" s="27">
        <f t="shared" si="79"/>
        <v>0</v>
      </c>
      <c r="AB99" s="27">
        <f t="shared" si="79"/>
        <v>0</v>
      </c>
      <c r="AC99" s="4">
        <f t="shared" si="79"/>
        <v>0</v>
      </c>
      <c r="AD99" s="27">
        <f t="shared" si="79"/>
        <v>0</v>
      </c>
      <c r="AE99" s="27">
        <f t="shared" si="79"/>
        <v>0</v>
      </c>
      <c r="AF99" s="27">
        <f t="shared" si="79"/>
        <v>0</v>
      </c>
      <c r="AG99" s="27">
        <f t="shared" si="79"/>
        <v>0</v>
      </c>
      <c r="AH99" s="27">
        <f t="shared" si="79"/>
        <v>0</v>
      </c>
      <c r="AI99" s="27">
        <f t="shared" si="79"/>
        <v>0</v>
      </c>
      <c r="AJ99" s="27">
        <f t="shared" ref="AJ99:BP99" si="80">AJ88</f>
        <v>0</v>
      </c>
      <c r="AK99" s="27">
        <f t="shared" si="80"/>
        <v>0</v>
      </c>
      <c r="AL99" s="27">
        <f t="shared" si="80"/>
        <v>0</v>
      </c>
      <c r="AM99" s="27">
        <f t="shared" si="80"/>
        <v>0</v>
      </c>
      <c r="AN99" s="27">
        <f t="shared" si="80"/>
        <v>0</v>
      </c>
      <c r="AO99" s="27">
        <f t="shared" si="80"/>
        <v>0</v>
      </c>
      <c r="AP99" s="4">
        <f t="shared" si="80"/>
        <v>0</v>
      </c>
      <c r="AQ99" s="28">
        <f t="shared" si="80"/>
        <v>0</v>
      </c>
      <c r="AR99" s="27">
        <f t="shared" si="80"/>
        <v>0</v>
      </c>
      <c r="AS99" s="27">
        <f t="shared" si="80"/>
        <v>0</v>
      </c>
      <c r="AT99" s="27">
        <f t="shared" si="80"/>
        <v>0</v>
      </c>
      <c r="AU99" s="27">
        <f t="shared" si="80"/>
        <v>0</v>
      </c>
      <c r="AV99" s="27">
        <f t="shared" si="80"/>
        <v>0</v>
      </c>
      <c r="AW99" s="27">
        <f t="shared" si="80"/>
        <v>0</v>
      </c>
      <c r="AX99" s="27">
        <f t="shared" si="80"/>
        <v>0</v>
      </c>
      <c r="AY99" s="27">
        <f t="shared" si="80"/>
        <v>0</v>
      </c>
      <c r="AZ99" s="27">
        <f t="shared" si="80"/>
        <v>0</v>
      </c>
      <c r="BA99" s="27">
        <f t="shared" si="80"/>
        <v>0</v>
      </c>
      <c r="BB99" s="27">
        <f t="shared" si="80"/>
        <v>0</v>
      </c>
      <c r="BC99" s="4">
        <f t="shared" si="80"/>
        <v>0</v>
      </c>
      <c r="BD99" s="27">
        <f t="shared" si="80"/>
        <v>0</v>
      </c>
      <c r="BE99" s="27">
        <f t="shared" si="80"/>
        <v>0</v>
      </c>
      <c r="BF99" s="27">
        <f t="shared" si="80"/>
        <v>0</v>
      </c>
      <c r="BG99" s="27">
        <f t="shared" si="80"/>
        <v>0</v>
      </c>
      <c r="BH99" s="27">
        <f t="shared" si="80"/>
        <v>0</v>
      </c>
      <c r="BI99" s="27">
        <f t="shared" si="80"/>
        <v>0</v>
      </c>
      <c r="BJ99" s="27">
        <f t="shared" si="80"/>
        <v>0</v>
      </c>
      <c r="BK99" s="27">
        <f t="shared" si="80"/>
        <v>0</v>
      </c>
      <c r="BL99" s="27">
        <f t="shared" si="80"/>
        <v>0</v>
      </c>
      <c r="BM99" s="27">
        <f t="shared" si="80"/>
        <v>0</v>
      </c>
      <c r="BN99" s="27">
        <f t="shared" si="80"/>
        <v>0</v>
      </c>
      <c r="BO99" s="27">
        <f t="shared" si="80"/>
        <v>0</v>
      </c>
      <c r="BP99" s="4">
        <f t="shared" si="80"/>
        <v>0</v>
      </c>
    </row>
    <row r="100" spans="1:68" s="12" customFormat="1" x14ac:dyDescent="0.25">
      <c r="A100" s="12" t="s">
        <v>123</v>
      </c>
      <c r="B100" s="56" t="s">
        <v>120</v>
      </c>
      <c r="D100" s="57">
        <f t="shared" ref="D100:AI100" si="81">D92</f>
        <v>-5000</v>
      </c>
      <c r="E100" s="57">
        <f t="shared" si="81"/>
        <v>1200</v>
      </c>
      <c r="F100" s="57">
        <f t="shared" si="81"/>
        <v>0</v>
      </c>
      <c r="G100" s="57">
        <f t="shared" si="81"/>
        <v>800</v>
      </c>
      <c r="H100" s="57">
        <f t="shared" si="81"/>
        <v>0</v>
      </c>
      <c r="I100" s="57">
        <f t="shared" si="81"/>
        <v>0</v>
      </c>
      <c r="J100" s="57">
        <f t="shared" si="81"/>
        <v>0</v>
      </c>
      <c r="K100" s="57">
        <f t="shared" si="81"/>
        <v>0</v>
      </c>
      <c r="L100" s="57">
        <f t="shared" si="81"/>
        <v>0</v>
      </c>
      <c r="M100" s="57">
        <f t="shared" si="81"/>
        <v>0</v>
      </c>
      <c r="N100" s="57">
        <f t="shared" si="81"/>
        <v>0</v>
      </c>
      <c r="O100" s="57">
        <f t="shared" si="81"/>
        <v>0</v>
      </c>
      <c r="P100" s="58">
        <f t="shared" si="81"/>
        <v>-3000</v>
      </c>
      <c r="Q100" s="57">
        <f t="shared" si="81"/>
        <v>0</v>
      </c>
      <c r="R100" s="57">
        <f t="shared" si="81"/>
        <v>0</v>
      </c>
      <c r="S100" s="57">
        <f t="shared" si="81"/>
        <v>0</v>
      </c>
      <c r="T100" s="57">
        <f t="shared" si="81"/>
        <v>0</v>
      </c>
      <c r="U100" s="57">
        <f t="shared" si="81"/>
        <v>0</v>
      </c>
      <c r="V100" s="57">
        <f t="shared" si="81"/>
        <v>0</v>
      </c>
      <c r="W100" s="57">
        <f t="shared" si="81"/>
        <v>0</v>
      </c>
      <c r="X100" s="57">
        <f t="shared" si="81"/>
        <v>0</v>
      </c>
      <c r="Y100" s="57">
        <f t="shared" si="81"/>
        <v>0</v>
      </c>
      <c r="Z100" s="57">
        <f t="shared" si="81"/>
        <v>0</v>
      </c>
      <c r="AA100" s="57">
        <f t="shared" si="81"/>
        <v>0</v>
      </c>
      <c r="AB100" s="57">
        <f t="shared" si="81"/>
        <v>0</v>
      </c>
      <c r="AC100" s="58">
        <f t="shared" si="81"/>
        <v>0</v>
      </c>
      <c r="AD100" s="57">
        <f t="shared" si="81"/>
        <v>0</v>
      </c>
      <c r="AE100" s="57">
        <f t="shared" si="81"/>
        <v>0</v>
      </c>
      <c r="AF100" s="57">
        <f t="shared" si="81"/>
        <v>0</v>
      </c>
      <c r="AG100" s="57">
        <f t="shared" si="81"/>
        <v>0</v>
      </c>
      <c r="AH100" s="57">
        <f t="shared" si="81"/>
        <v>0</v>
      </c>
      <c r="AI100" s="57">
        <f t="shared" si="81"/>
        <v>0</v>
      </c>
      <c r="AJ100" s="57">
        <f t="shared" ref="AJ100:BP100" si="82">AJ92</f>
        <v>0</v>
      </c>
      <c r="AK100" s="57">
        <f t="shared" si="82"/>
        <v>0</v>
      </c>
      <c r="AL100" s="57">
        <f t="shared" si="82"/>
        <v>0</v>
      </c>
      <c r="AM100" s="57">
        <f t="shared" si="82"/>
        <v>0</v>
      </c>
      <c r="AN100" s="57">
        <f t="shared" si="82"/>
        <v>0</v>
      </c>
      <c r="AO100" s="57">
        <f t="shared" si="82"/>
        <v>0</v>
      </c>
      <c r="AP100" s="58">
        <f t="shared" si="82"/>
        <v>0</v>
      </c>
      <c r="AQ100" s="59">
        <f t="shared" si="82"/>
        <v>0</v>
      </c>
      <c r="AR100" s="57">
        <f t="shared" si="82"/>
        <v>0</v>
      </c>
      <c r="AS100" s="57">
        <f t="shared" si="82"/>
        <v>0</v>
      </c>
      <c r="AT100" s="57">
        <f t="shared" si="82"/>
        <v>0</v>
      </c>
      <c r="AU100" s="57">
        <f t="shared" si="82"/>
        <v>0</v>
      </c>
      <c r="AV100" s="57">
        <f t="shared" si="82"/>
        <v>0</v>
      </c>
      <c r="AW100" s="57">
        <f t="shared" si="82"/>
        <v>0</v>
      </c>
      <c r="AX100" s="57">
        <f t="shared" si="82"/>
        <v>0</v>
      </c>
      <c r="AY100" s="57">
        <f t="shared" si="82"/>
        <v>0</v>
      </c>
      <c r="AZ100" s="57">
        <f t="shared" si="82"/>
        <v>0</v>
      </c>
      <c r="BA100" s="57">
        <f t="shared" si="82"/>
        <v>0</v>
      </c>
      <c r="BB100" s="57">
        <f t="shared" si="82"/>
        <v>0</v>
      </c>
      <c r="BC100" s="58">
        <f t="shared" si="82"/>
        <v>0</v>
      </c>
      <c r="BD100" s="57">
        <f t="shared" si="82"/>
        <v>0</v>
      </c>
      <c r="BE100" s="57">
        <f t="shared" si="82"/>
        <v>0</v>
      </c>
      <c r="BF100" s="57">
        <f t="shared" si="82"/>
        <v>0</v>
      </c>
      <c r="BG100" s="57">
        <f t="shared" si="82"/>
        <v>0</v>
      </c>
      <c r="BH100" s="57">
        <f t="shared" si="82"/>
        <v>0</v>
      </c>
      <c r="BI100" s="57">
        <f t="shared" si="82"/>
        <v>0</v>
      </c>
      <c r="BJ100" s="57">
        <f t="shared" si="82"/>
        <v>0</v>
      </c>
      <c r="BK100" s="57">
        <f t="shared" si="82"/>
        <v>0</v>
      </c>
      <c r="BL100" s="57">
        <f t="shared" si="82"/>
        <v>0</v>
      </c>
      <c r="BM100" s="57">
        <f t="shared" si="82"/>
        <v>0</v>
      </c>
      <c r="BN100" s="57">
        <f t="shared" si="82"/>
        <v>0</v>
      </c>
      <c r="BO100" s="57">
        <f t="shared" si="82"/>
        <v>0</v>
      </c>
      <c r="BP100" s="58">
        <f t="shared" si="82"/>
        <v>0</v>
      </c>
    </row>
    <row r="101" spans="1:68" s="13" customFormat="1" x14ac:dyDescent="0.25">
      <c r="A101" s="13" t="s">
        <v>99</v>
      </c>
      <c r="B101" s="60"/>
      <c r="D101" s="61">
        <f t="shared" ref="D101:AI101" si="83">SUM(D95:D100)</f>
        <v>-5001</v>
      </c>
      <c r="E101" s="61">
        <f t="shared" si="83"/>
        <v>1200</v>
      </c>
      <c r="F101" s="61">
        <f t="shared" si="83"/>
        <v>0</v>
      </c>
      <c r="G101" s="61">
        <f t="shared" si="83"/>
        <v>800</v>
      </c>
      <c r="H101" s="61">
        <f t="shared" si="83"/>
        <v>0</v>
      </c>
      <c r="I101" s="61">
        <f t="shared" si="83"/>
        <v>0</v>
      </c>
      <c r="J101" s="61">
        <f t="shared" si="83"/>
        <v>0</v>
      </c>
      <c r="K101" s="61">
        <f t="shared" si="83"/>
        <v>0</v>
      </c>
      <c r="L101" s="61">
        <f t="shared" si="83"/>
        <v>0</v>
      </c>
      <c r="M101" s="61">
        <f t="shared" si="83"/>
        <v>0</v>
      </c>
      <c r="N101" s="61">
        <f t="shared" si="83"/>
        <v>0</v>
      </c>
      <c r="O101" s="61">
        <f t="shared" si="83"/>
        <v>0</v>
      </c>
      <c r="P101" s="62">
        <f t="shared" si="83"/>
        <v>-3001</v>
      </c>
      <c r="Q101" s="61">
        <f t="shared" si="83"/>
        <v>0</v>
      </c>
      <c r="R101" s="61">
        <f t="shared" si="83"/>
        <v>0</v>
      </c>
      <c r="S101" s="61">
        <f t="shared" si="83"/>
        <v>0</v>
      </c>
      <c r="T101" s="61">
        <f t="shared" si="83"/>
        <v>0</v>
      </c>
      <c r="U101" s="61">
        <f t="shared" si="83"/>
        <v>0</v>
      </c>
      <c r="V101" s="61">
        <f t="shared" si="83"/>
        <v>0</v>
      </c>
      <c r="W101" s="61">
        <f t="shared" si="83"/>
        <v>0</v>
      </c>
      <c r="X101" s="61">
        <f t="shared" si="83"/>
        <v>0</v>
      </c>
      <c r="Y101" s="61">
        <f t="shared" si="83"/>
        <v>0</v>
      </c>
      <c r="Z101" s="61">
        <f t="shared" si="83"/>
        <v>0</v>
      </c>
      <c r="AA101" s="61">
        <f t="shared" si="83"/>
        <v>0</v>
      </c>
      <c r="AB101" s="61">
        <f t="shared" si="83"/>
        <v>0</v>
      </c>
      <c r="AC101" s="62">
        <f t="shared" si="83"/>
        <v>0</v>
      </c>
      <c r="AD101" s="61">
        <f t="shared" si="83"/>
        <v>0</v>
      </c>
      <c r="AE101" s="61">
        <f t="shared" si="83"/>
        <v>0</v>
      </c>
      <c r="AF101" s="61">
        <f t="shared" si="83"/>
        <v>0</v>
      </c>
      <c r="AG101" s="61">
        <f t="shared" si="83"/>
        <v>0</v>
      </c>
      <c r="AH101" s="61">
        <f t="shared" si="83"/>
        <v>0</v>
      </c>
      <c r="AI101" s="61">
        <f t="shared" si="83"/>
        <v>0</v>
      </c>
      <c r="AJ101" s="61">
        <f t="shared" ref="AJ101:BO101" si="84">SUM(AJ95:AJ100)</f>
        <v>0</v>
      </c>
      <c r="AK101" s="61">
        <f t="shared" si="84"/>
        <v>0</v>
      </c>
      <c r="AL101" s="61">
        <f t="shared" si="84"/>
        <v>0</v>
      </c>
      <c r="AM101" s="61">
        <f t="shared" si="84"/>
        <v>0</v>
      </c>
      <c r="AN101" s="61">
        <f t="shared" si="84"/>
        <v>0</v>
      </c>
      <c r="AO101" s="61">
        <f t="shared" si="84"/>
        <v>0</v>
      </c>
      <c r="AP101" s="62">
        <f t="shared" si="84"/>
        <v>0</v>
      </c>
      <c r="AQ101" s="63">
        <f t="shared" si="84"/>
        <v>0</v>
      </c>
      <c r="AR101" s="61">
        <f t="shared" si="84"/>
        <v>0</v>
      </c>
      <c r="AS101" s="61">
        <f t="shared" si="84"/>
        <v>0</v>
      </c>
      <c r="AT101" s="61">
        <f t="shared" si="84"/>
        <v>0</v>
      </c>
      <c r="AU101" s="61">
        <f t="shared" si="84"/>
        <v>0</v>
      </c>
      <c r="AV101" s="61">
        <f t="shared" si="84"/>
        <v>0</v>
      </c>
      <c r="AW101" s="61">
        <f t="shared" si="84"/>
        <v>0</v>
      </c>
      <c r="AX101" s="61">
        <f t="shared" si="84"/>
        <v>0</v>
      </c>
      <c r="AY101" s="61">
        <f t="shared" si="84"/>
        <v>0</v>
      </c>
      <c r="AZ101" s="61">
        <f t="shared" si="84"/>
        <v>0</v>
      </c>
      <c r="BA101" s="61">
        <f t="shared" si="84"/>
        <v>0</v>
      </c>
      <c r="BB101" s="61">
        <f t="shared" si="84"/>
        <v>0</v>
      </c>
      <c r="BC101" s="62">
        <f t="shared" si="84"/>
        <v>0</v>
      </c>
      <c r="BD101" s="61">
        <f t="shared" si="84"/>
        <v>0</v>
      </c>
      <c r="BE101" s="61">
        <f t="shared" si="84"/>
        <v>0</v>
      </c>
      <c r="BF101" s="61">
        <f t="shared" si="84"/>
        <v>0</v>
      </c>
      <c r="BG101" s="61">
        <f t="shared" si="84"/>
        <v>0</v>
      </c>
      <c r="BH101" s="61">
        <f t="shared" si="84"/>
        <v>0</v>
      </c>
      <c r="BI101" s="61">
        <f t="shared" si="84"/>
        <v>0</v>
      </c>
      <c r="BJ101" s="61">
        <f t="shared" si="84"/>
        <v>0</v>
      </c>
      <c r="BK101" s="61">
        <f t="shared" si="84"/>
        <v>0</v>
      </c>
      <c r="BL101" s="61">
        <f t="shared" si="84"/>
        <v>0</v>
      </c>
      <c r="BM101" s="61">
        <f t="shared" si="84"/>
        <v>0</v>
      </c>
      <c r="BN101" s="61">
        <f t="shared" si="84"/>
        <v>0</v>
      </c>
      <c r="BO101" s="61">
        <f t="shared" si="84"/>
        <v>0</v>
      </c>
      <c r="BP101" s="62">
        <f t="shared" ref="BP101:CU101" si="85">SUM(BP95:BP100)</f>
        <v>0</v>
      </c>
    </row>
    <row r="103" spans="1:68" s="15" customFormat="1" x14ac:dyDescent="0.25">
      <c r="A103" s="69" t="s">
        <v>124</v>
      </c>
      <c r="B103" s="70"/>
      <c r="C103" s="69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2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2"/>
      <c r="AD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2"/>
      <c r="AQ103" s="71"/>
      <c r="AR103" s="71"/>
      <c r="AS103" s="71"/>
      <c r="AT103" s="71"/>
      <c r="AU103" s="71"/>
      <c r="AV103" s="71"/>
      <c r="AW103" s="71"/>
      <c r="AX103" s="71"/>
      <c r="AY103" s="71"/>
      <c r="AZ103" s="71"/>
      <c r="BA103" s="71"/>
      <c r="BB103" s="71"/>
      <c r="BC103" s="72"/>
      <c r="BD103" s="71"/>
      <c r="BE103" s="71"/>
      <c r="BF103" s="71"/>
      <c r="BG103" s="71"/>
      <c r="BH103" s="71"/>
      <c r="BI103" s="71"/>
      <c r="BJ103" s="71"/>
      <c r="BK103" s="71"/>
      <c r="BL103" s="71"/>
      <c r="BM103" s="71"/>
      <c r="BN103" s="71"/>
      <c r="BO103" s="71"/>
      <c r="BP103" s="72"/>
    </row>
    <row r="104" spans="1:68" customFormat="1" x14ac:dyDescent="0.25">
      <c r="A104" t="str">
        <f>"CT-TURNOV"</f>
        <v>CT-TURNOV</v>
      </c>
      <c r="B104" s="2" t="s">
        <v>125</v>
      </c>
      <c r="C104" t="s">
        <v>126</v>
      </c>
      <c r="D104" s="27">
        <f t="shared" ref="D104:AI104" si="86">D10</f>
        <v>0</v>
      </c>
      <c r="E104" s="27">
        <f t="shared" si="86"/>
        <v>8992.9500000000007</v>
      </c>
      <c r="F104" s="27">
        <f t="shared" si="86"/>
        <v>19608.330000000002</v>
      </c>
      <c r="G104" s="27">
        <f t="shared" si="86"/>
        <v>16746.39</v>
      </c>
      <c r="H104" s="27">
        <f t="shared" si="86"/>
        <v>5874.42</v>
      </c>
      <c r="I104" s="27">
        <f t="shared" si="86"/>
        <v>23362.05</v>
      </c>
      <c r="J104" s="27">
        <f t="shared" si="86"/>
        <v>9693.1200000000008</v>
      </c>
      <c r="K104" s="27">
        <f t="shared" si="86"/>
        <v>25175.4</v>
      </c>
      <c r="L104" s="27">
        <f t="shared" si="86"/>
        <v>13632.63</v>
      </c>
      <c r="M104" s="27">
        <f t="shared" si="86"/>
        <v>31791.06</v>
      </c>
      <c r="N104" s="27">
        <f t="shared" si="86"/>
        <v>26673.84</v>
      </c>
      <c r="O104" s="27">
        <f t="shared" si="86"/>
        <v>31413.42</v>
      </c>
      <c r="P104" s="4">
        <f t="shared" si="86"/>
        <v>212963.61</v>
      </c>
      <c r="Q104" s="27">
        <f t="shared" si="86"/>
        <v>11843.64</v>
      </c>
      <c r="R104" s="27">
        <f t="shared" si="86"/>
        <v>41841.54</v>
      </c>
      <c r="S104" s="27">
        <f t="shared" si="86"/>
        <v>16614.240000000002</v>
      </c>
      <c r="T104" s="27">
        <f t="shared" si="86"/>
        <v>35353.199999999997</v>
      </c>
      <c r="U104" s="27">
        <f t="shared" si="86"/>
        <v>26700.48</v>
      </c>
      <c r="V104" s="27">
        <f t="shared" si="86"/>
        <v>28303.41</v>
      </c>
      <c r="W104" s="27">
        <f t="shared" si="86"/>
        <v>23415.57</v>
      </c>
      <c r="X104" s="27">
        <f t="shared" si="86"/>
        <v>24358.89</v>
      </c>
      <c r="Y104" s="27">
        <f t="shared" si="86"/>
        <v>10332.66</v>
      </c>
      <c r="Z104" s="27">
        <f t="shared" si="86"/>
        <v>42557.85</v>
      </c>
      <c r="AA104" s="27">
        <f t="shared" si="86"/>
        <v>10303.200000000001</v>
      </c>
      <c r="AB104" s="27">
        <f t="shared" si="86"/>
        <v>30697.11</v>
      </c>
      <c r="AC104" s="4">
        <f t="shared" si="86"/>
        <v>302321.79000000004</v>
      </c>
      <c r="AD104" s="27">
        <f t="shared" si="86"/>
        <v>10588.635</v>
      </c>
      <c r="AE104" s="27">
        <f t="shared" si="86"/>
        <v>21943.62</v>
      </c>
      <c r="AF104" s="27">
        <f t="shared" si="86"/>
        <v>18487.650000000001</v>
      </c>
      <c r="AG104" s="27">
        <f t="shared" si="86"/>
        <v>39447.839999999997</v>
      </c>
      <c r="AH104" s="27">
        <f t="shared" si="86"/>
        <v>7074.39</v>
      </c>
      <c r="AI104" s="27">
        <f t="shared" si="86"/>
        <v>37768.47</v>
      </c>
      <c r="AJ104" s="27">
        <f t="shared" ref="AJ104:BP104" si="87">AJ10</f>
        <v>13107.09</v>
      </c>
      <c r="AK104" s="27">
        <f t="shared" si="87"/>
        <v>21795.87</v>
      </c>
      <c r="AL104" s="27">
        <f t="shared" si="87"/>
        <v>13077.63</v>
      </c>
      <c r="AM104" s="27">
        <f t="shared" si="87"/>
        <v>26905.08</v>
      </c>
      <c r="AN104" s="27">
        <f t="shared" si="87"/>
        <v>27601.5</v>
      </c>
      <c r="AO104" s="27">
        <f t="shared" si="87"/>
        <v>25735.65</v>
      </c>
      <c r="AP104" s="4">
        <f t="shared" si="87"/>
        <v>263533.42499999999</v>
      </c>
      <c r="AQ104" s="28">
        <f t="shared" si="87"/>
        <v>0</v>
      </c>
      <c r="AR104" s="27">
        <f t="shared" si="87"/>
        <v>0</v>
      </c>
      <c r="AS104" s="27">
        <f t="shared" si="87"/>
        <v>0</v>
      </c>
      <c r="AT104" s="27">
        <f t="shared" si="87"/>
        <v>0</v>
      </c>
      <c r="AU104" s="27">
        <f t="shared" si="87"/>
        <v>0</v>
      </c>
      <c r="AV104" s="27">
        <f t="shared" si="87"/>
        <v>0</v>
      </c>
      <c r="AW104" s="27">
        <f t="shared" si="87"/>
        <v>0</v>
      </c>
      <c r="AX104" s="27">
        <f t="shared" si="87"/>
        <v>0</v>
      </c>
      <c r="AY104" s="27">
        <f t="shared" si="87"/>
        <v>0</v>
      </c>
      <c r="AZ104" s="27">
        <f t="shared" si="87"/>
        <v>0</v>
      </c>
      <c r="BA104" s="27">
        <f t="shared" si="87"/>
        <v>0</v>
      </c>
      <c r="BB104" s="27">
        <f t="shared" si="87"/>
        <v>0</v>
      </c>
      <c r="BC104" s="4">
        <f t="shared" si="87"/>
        <v>0</v>
      </c>
      <c r="BD104" s="27">
        <f t="shared" si="87"/>
        <v>0</v>
      </c>
      <c r="BE104" s="27">
        <f t="shared" si="87"/>
        <v>0</v>
      </c>
      <c r="BF104" s="27">
        <f t="shared" si="87"/>
        <v>0</v>
      </c>
      <c r="BG104" s="27">
        <f t="shared" si="87"/>
        <v>0</v>
      </c>
      <c r="BH104" s="27">
        <f t="shared" si="87"/>
        <v>0</v>
      </c>
      <c r="BI104" s="27">
        <f t="shared" si="87"/>
        <v>0</v>
      </c>
      <c r="BJ104" s="27">
        <f t="shared" si="87"/>
        <v>0</v>
      </c>
      <c r="BK104" s="27">
        <f t="shared" si="87"/>
        <v>0</v>
      </c>
      <c r="BL104" s="27">
        <f t="shared" si="87"/>
        <v>0</v>
      </c>
      <c r="BM104" s="27">
        <f t="shared" si="87"/>
        <v>0</v>
      </c>
      <c r="BN104" s="27">
        <f t="shared" si="87"/>
        <v>0</v>
      </c>
      <c r="BO104" s="27">
        <f t="shared" si="87"/>
        <v>0</v>
      </c>
      <c r="BP104" s="4">
        <f t="shared" si="87"/>
        <v>0</v>
      </c>
    </row>
    <row r="105" spans="1:68" customFormat="1" x14ac:dyDescent="0.25">
      <c r="A105" t="str">
        <f>"CT-OTHRIN"</f>
        <v>CT-OTHRIN</v>
      </c>
      <c r="B105" s="2" t="s">
        <v>38</v>
      </c>
      <c r="C105" t="s">
        <v>127</v>
      </c>
      <c r="D105" s="27">
        <f t="shared" ref="D105:AI105" si="88">D14</f>
        <v>5001</v>
      </c>
      <c r="E105" s="27">
        <f t="shared" si="88"/>
        <v>122.5</v>
      </c>
      <c r="F105" s="27">
        <f t="shared" si="88"/>
        <v>111.67</v>
      </c>
      <c r="G105" s="27">
        <f t="shared" si="88"/>
        <v>39.17</v>
      </c>
      <c r="H105" s="27">
        <f t="shared" si="88"/>
        <v>28.33</v>
      </c>
      <c r="I105" s="27">
        <f t="shared" si="88"/>
        <v>79.17</v>
      </c>
      <c r="J105" s="27">
        <f t="shared" si="88"/>
        <v>40</v>
      </c>
      <c r="K105" s="27">
        <f t="shared" si="88"/>
        <v>112.5</v>
      </c>
      <c r="L105" s="27">
        <f t="shared" si="88"/>
        <v>61.67</v>
      </c>
      <c r="M105" s="27">
        <f t="shared" si="88"/>
        <v>72.5</v>
      </c>
      <c r="N105" s="27">
        <f t="shared" si="88"/>
        <v>79.17</v>
      </c>
      <c r="O105" s="27">
        <f t="shared" si="88"/>
        <v>104.17</v>
      </c>
      <c r="P105" s="4">
        <f t="shared" si="88"/>
        <v>5851.85</v>
      </c>
      <c r="Q105" s="27">
        <f t="shared" si="88"/>
        <v>92.5</v>
      </c>
      <c r="R105" s="27">
        <f t="shared" si="88"/>
        <v>30.83</v>
      </c>
      <c r="S105" s="27">
        <f t="shared" si="88"/>
        <v>123.33</v>
      </c>
      <c r="T105" s="27">
        <f t="shared" si="88"/>
        <v>60.83</v>
      </c>
      <c r="U105" s="27">
        <f t="shared" si="88"/>
        <v>50</v>
      </c>
      <c r="V105" s="27">
        <f t="shared" si="88"/>
        <v>65.83</v>
      </c>
      <c r="W105" s="27">
        <f t="shared" si="88"/>
        <v>107.5</v>
      </c>
      <c r="X105" s="27">
        <f t="shared" si="88"/>
        <v>95.83</v>
      </c>
      <c r="Y105" s="27">
        <f t="shared" si="88"/>
        <v>82.5</v>
      </c>
      <c r="Z105" s="27">
        <f t="shared" si="88"/>
        <v>57.5</v>
      </c>
      <c r="AA105" s="27">
        <f t="shared" si="88"/>
        <v>69.17</v>
      </c>
      <c r="AB105" s="27">
        <f t="shared" si="88"/>
        <v>33.33</v>
      </c>
      <c r="AC105" s="4">
        <f t="shared" si="88"/>
        <v>869.15</v>
      </c>
      <c r="AD105" s="27">
        <f t="shared" si="88"/>
        <v>38.33</v>
      </c>
      <c r="AE105" s="27">
        <f t="shared" si="88"/>
        <v>100.83</v>
      </c>
      <c r="AF105" s="27">
        <f t="shared" si="88"/>
        <v>118.33</v>
      </c>
      <c r="AG105" s="27">
        <f t="shared" si="88"/>
        <v>95.83</v>
      </c>
      <c r="AH105" s="27">
        <f t="shared" si="88"/>
        <v>54.17</v>
      </c>
      <c r="AI105" s="27">
        <f t="shared" si="88"/>
        <v>72.5</v>
      </c>
      <c r="AJ105" s="27">
        <f t="shared" ref="AJ105:BP105" si="89">AJ14</f>
        <v>31.67</v>
      </c>
      <c r="AK105" s="27">
        <f t="shared" si="89"/>
        <v>110.83</v>
      </c>
      <c r="AL105" s="27">
        <f t="shared" si="89"/>
        <v>95.83</v>
      </c>
      <c r="AM105" s="27">
        <f t="shared" si="89"/>
        <v>78.33</v>
      </c>
      <c r="AN105" s="27">
        <f t="shared" si="89"/>
        <v>76.67</v>
      </c>
      <c r="AO105" s="27">
        <f t="shared" si="89"/>
        <v>61.67</v>
      </c>
      <c r="AP105" s="4">
        <f t="shared" si="89"/>
        <v>934.99</v>
      </c>
      <c r="AQ105" s="28">
        <f t="shared" si="89"/>
        <v>0</v>
      </c>
      <c r="AR105" s="27">
        <f t="shared" si="89"/>
        <v>0</v>
      </c>
      <c r="AS105" s="27">
        <f t="shared" si="89"/>
        <v>0</v>
      </c>
      <c r="AT105" s="27">
        <f t="shared" si="89"/>
        <v>0</v>
      </c>
      <c r="AU105" s="27">
        <f t="shared" si="89"/>
        <v>0</v>
      </c>
      <c r="AV105" s="27">
        <f t="shared" si="89"/>
        <v>0</v>
      </c>
      <c r="AW105" s="27">
        <f t="shared" si="89"/>
        <v>0</v>
      </c>
      <c r="AX105" s="27">
        <f t="shared" si="89"/>
        <v>0</v>
      </c>
      <c r="AY105" s="27">
        <f t="shared" si="89"/>
        <v>0</v>
      </c>
      <c r="AZ105" s="27">
        <f t="shared" si="89"/>
        <v>0</v>
      </c>
      <c r="BA105" s="27">
        <f t="shared" si="89"/>
        <v>0</v>
      </c>
      <c r="BB105" s="27">
        <f t="shared" si="89"/>
        <v>0</v>
      </c>
      <c r="BC105" s="4">
        <f t="shared" si="89"/>
        <v>0</v>
      </c>
      <c r="BD105" s="27">
        <f t="shared" si="89"/>
        <v>0</v>
      </c>
      <c r="BE105" s="27">
        <f t="shared" si="89"/>
        <v>0</v>
      </c>
      <c r="BF105" s="27">
        <f t="shared" si="89"/>
        <v>0</v>
      </c>
      <c r="BG105" s="27">
        <f t="shared" si="89"/>
        <v>0</v>
      </c>
      <c r="BH105" s="27">
        <f t="shared" si="89"/>
        <v>0</v>
      </c>
      <c r="BI105" s="27">
        <f t="shared" si="89"/>
        <v>0</v>
      </c>
      <c r="BJ105" s="27">
        <f t="shared" si="89"/>
        <v>0</v>
      </c>
      <c r="BK105" s="27">
        <f t="shared" si="89"/>
        <v>0</v>
      </c>
      <c r="BL105" s="27">
        <f t="shared" si="89"/>
        <v>0</v>
      </c>
      <c r="BM105" s="27">
        <f t="shared" si="89"/>
        <v>0</v>
      </c>
      <c r="BN105" s="27">
        <f t="shared" si="89"/>
        <v>0</v>
      </c>
      <c r="BO105" s="27">
        <f t="shared" si="89"/>
        <v>0</v>
      </c>
      <c r="BP105" s="4">
        <f t="shared" si="89"/>
        <v>0</v>
      </c>
    </row>
    <row r="106" spans="1:68" customFormat="1" x14ac:dyDescent="0.25">
      <c r="A106" t="str">
        <f>"CT-CSTSAL"</f>
        <v>CT-CSTSAL</v>
      </c>
      <c r="B106" s="2" t="s">
        <v>128</v>
      </c>
      <c r="C106" t="s">
        <v>129</v>
      </c>
      <c r="D106" s="27">
        <f t="shared" ref="D106:AI106" si="90">D23</f>
        <v>0</v>
      </c>
      <c r="E106" s="27">
        <f t="shared" si="90"/>
        <v>-4941.2196000000004</v>
      </c>
      <c r="F106" s="27">
        <f t="shared" si="90"/>
        <v>-3078.0001200000002</v>
      </c>
      <c r="G106" s="27">
        <f t="shared" si="90"/>
        <v>-3424.8131600000002</v>
      </c>
      <c r="H106" s="27">
        <f t="shared" si="90"/>
        <v>-1058.51368</v>
      </c>
      <c r="I106" s="27">
        <f t="shared" si="90"/>
        <v>-5309.4542000000001</v>
      </c>
      <c r="J106" s="27">
        <f t="shared" si="90"/>
        <v>-1814.8212799999999</v>
      </c>
      <c r="K106" s="27">
        <f t="shared" si="90"/>
        <v>-5988.4116000000004</v>
      </c>
      <c r="L106" s="27">
        <f t="shared" si="90"/>
        <v>-1248.9721199999999</v>
      </c>
      <c r="M106" s="27">
        <f t="shared" si="90"/>
        <v>-6764.7426400000004</v>
      </c>
      <c r="N106" s="27">
        <f t="shared" si="90"/>
        <v>-7389.2189600000002</v>
      </c>
      <c r="O106" s="27">
        <f t="shared" si="90"/>
        <v>-6556.1304799999998</v>
      </c>
      <c r="P106" s="4">
        <f t="shared" si="90"/>
        <v>-47574.297839999999</v>
      </c>
      <c r="Q106" s="27">
        <f t="shared" si="90"/>
        <v>-2186.11832</v>
      </c>
      <c r="R106" s="27">
        <f t="shared" si="90"/>
        <v>-8722.9057599999996</v>
      </c>
      <c r="S106" s="27">
        <f t="shared" si="90"/>
        <v>-1925.93896</v>
      </c>
      <c r="T106" s="27">
        <f t="shared" si="90"/>
        <v>-7470.5508</v>
      </c>
      <c r="U106" s="27">
        <f t="shared" si="90"/>
        <v>-6483.9383200000002</v>
      </c>
      <c r="V106" s="27">
        <f t="shared" si="90"/>
        <v>-1930.87004</v>
      </c>
      <c r="W106" s="27">
        <f t="shared" si="90"/>
        <v>-3569.6218800000001</v>
      </c>
      <c r="X106" s="27">
        <f t="shared" si="90"/>
        <v>-6480.0271599999996</v>
      </c>
      <c r="Y106" s="27">
        <f t="shared" si="90"/>
        <v>-934.08744000000002</v>
      </c>
      <c r="Z106" s="27">
        <f t="shared" si="90"/>
        <v>-7660.7893999999997</v>
      </c>
      <c r="AA106" s="27">
        <f t="shared" si="90"/>
        <v>-1790.8607999999999</v>
      </c>
      <c r="AB106" s="27">
        <f t="shared" si="90"/>
        <v>-6135.5168400000002</v>
      </c>
      <c r="AC106" s="4">
        <f t="shared" si="90"/>
        <v>-55291.225720000002</v>
      </c>
      <c r="AD106" s="27">
        <f t="shared" si="90"/>
        <v>-8175.58788</v>
      </c>
      <c r="AE106" s="27">
        <f t="shared" si="90"/>
        <v>-466.33927999999997</v>
      </c>
      <c r="AF106" s="27">
        <f t="shared" si="90"/>
        <v>-2973.5293999999999</v>
      </c>
      <c r="AG106" s="27">
        <f t="shared" si="90"/>
        <v>-8106.1789600000002</v>
      </c>
      <c r="AH106" s="27">
        <f t="shared" si="90"/>
        <v>-5137.4703600000003</v>
      </c>
      <c r="AI106" s="27">
        <f t="shared" si="90"/>
        <v>-2498.6486799999998</v>
      </c>
      <c r="AJ106" s="27">
        <f t="shared" ref="AJ106:BP106" si="91">AJ23</f>
        <v>-2208.6407599999998</v>
      </c>
      <c r="AK106" s="27">
        <f t="shared" si="91"/>
        <v>-4859.4622799999997</v>
      </c>
      <c r="AL106" s="27">
        <f t="shared" si="91"/>
        <v>-2204.5541199999998</v>
      </c>
      <c r="AM106" s="27">
        <f t="shared" si="91"/>
        <v>-6395.3635199999999</v>
      </c>
      <c r="AN106" s="27">
        <f t="shared" si="91"/>
        <v>-3332.0012000000002</v>
      </c>
      <c r="AO106" s="27">
        <f t="shared" si="91"/>
        <v>-14317.0926</v>
      </c>
      <c r="AP106" s="4">
        <f t="shared" si="91"/>
        <v>-60674.86903999999</v>
      </c>
      <c r="AQ106" s="28">
        <f t="shared" si="91"/>
        <v>0</v>
      </c>
      <c r="AR106" s="27">
        <f t="shared" si="91"/>
        <v>0</v>
      </c>
      <c r="AS106" s="27">
        <f t="shared" si="91"/>
        <v>0</v>
      </c>
      <c r="AT106" s="27">
        <f t="shared" si="91"/>
        <v>0</v>
      </c>
      <c r="AU106" s="27">
        <f t="shared" si="91"/>
        <v>0</v>
      </c>
      <c r="AV106" s="27">
        <f t="shared" si="91"/>
        <v>0</v>
      </c>
      <c r="AW106" s="27">
        <f t="shared" si="91"/>
        <v>0</v>
      </c>
      <c r="AX106" s="27">
        <f t="shared" si="91"/>
        <v>0</v>
      </c>
      <c r="AY106" s="27">
        <f t="shared" si="91"/>
        <v>0</v>
      </c>
      <c r="AZ106" s="27">
        <f t="shared" si="91"/>
        <v>0</v>
      </c>
      <c r="BA106" s="27">
        <f t="shared" si="91"/>
        <v>0</v>
      </c>
      <c r="BB106" s="27">
        <f t="shared" si="91"/>
        <v>0</v>
      </c>
      <c r="BC106" s="4">
        <f t="shared" si="91"/>
        <v>0</v>
      </c>
      <c r="BD106" s="27">
        <f t="shared" si="91"/>
        <v>0</v>
      </c>
      <c r="BE106" s="27">
        <f t="shared" si="91"/>
        <v>0</v>
      </c>
      <c r="BF106" s="27">
        <f t="shared" si="91"/>
        <v>0</v>
      </c>
      <c r="BG106" s="27">
        <f t="shared" si="91"/>
        <v>0</v>
      </c>
      <c r="BH106" s="27">
        <f t="shared" si="91"/>
        <v>0</v>
      </c>
      <c r="BI106" s="27">
        <f t="shared" si="91"/>
        <v>0</v>
      </c>
      <c r="BJ106" s="27">
        <f t="shared" si="91"/>
        <v>0</v>
      </c>
      <c r="BK106" s="27">
        <f t="shared" si="91"/>
        <v>0</v>
      </c>
      <c r="BL106" s="27">
        <f t="shared" si="91"/>
        <v>0</v>
      </c>
      <c r="BM106" s="27">
        <f t="shared" si="91"/>
        <v>0</v>
      </c>
      <c r="BN106" s="27">
        <f t="shared" si="91"/>
        <v>0</v>
      </c>
      <c r="BO106" s="27">
        <f t="shared" si="91"/>
        <v>0</v>
      </c>
      <c r="BP106" s="4">
        <f t="shared" si="91"/>
        <v>0</v>
      </c>
    </row>
    <row r="107" spans="1:68" customFormat="1" x14ac:dyDescent="0.25">
      <c r="A107" t="str">
        <f>"CT-STAFFC"</f>
        <v>CT-STAFFC</v>
      </c>
      <c r="B107" s="2" t="s">
        <v>130</v>
      </c>
      <c r="C107" t="s">
        <v>131</v>
      </c>
      <c r="D107" s="27">
        <f t="shared" ref="D107:AI107" si="92">D30</f>
        <v>0</v>
      </c>
      <c r="E107" s="27">
        <f t="shared" si="92"/>
        <v>-2547.6</v>
      </c>
      <c r="F107" s="27">
        <f t="shared" si="92"/>
        <v>-2508</v>
      </c>
      <c r="G107" s="27">
        <f t="shared" si="92"/>
        <v>-2466.1999999999998</v>
      </c>
      <c r="H107" s="27">
        <f t="shared" si="92"/>
        <v>-2461.8000000000002</v>
      </c>
      <c r="I107" s="27">
        <f t="shared" si="92"/>
        <v>-2697.2</v>
      </c>
      <c r="J107" s="27">
        <f t="shared" si="92"/>
        <v>-2655.4</v>
      </c>
      <c r="K107" s="27">
        <f t="shared" si="92"/>
        <v>-2578.4</v>
      </c>
      <c r="L107" s="27">
        <f t="shared" si="92"/>
        <v>-2813.8</v>
      </c>
      <c r="M107" s="27">
        <f t="shared" si="92"/>
        <v>-2774.2</v>
      </c>
      <c r="N107" s="27">
        <f t="shared" si="92"/>
        <v>-2659.8</v>
      </c>
      <c r="O107" s="27">
        <f t="shared" si="92"/>
        <v>-2615.8000000000002</v>
      </c>
      <c r="P107" s="4">
        <f t="shared" si="92"/>
        <v>-28778.2</v>
      </c>
      <c r="Q107" s="27">
        <f t="shared" si="92"/>
        <v>-2563</v>
      </c>
      <c r="R107" s="27">
        <f t="shared" si="92"/>
        <v>-2723.6</v>
      </c>
      <c r="S107" s="27">
        <f t="shared" si="92"/>
        <v>-2767.6</v>
      </c>
      <c r="T107" s="27">
        <f t="shared" si="92"/>
        <v>-2602.6</v>
      </c>
      <c r="U107" s="27">
        <f t="shared" si="92"/>
        <v>-2624.6</v>
      </c>
      <c r="V107" s="27">
        <f t="shared" si="92"/>
        <v>-2499.1999999999998</v>
      </c>
      <c r="W107" s="27">
        <f t="shared" si="92"/>
        <v>-2664.2</v>
      </c>
      <c r="X107" s="27">
        <f t="shared" si="92"/>
        <v>-2717</v>
      </c>
      <c r="Y107" s="27">
        <f t="shared" si="92"/>
        <v>-2633.4</v>
      </c>
      <c r="Z107" s="27">
        <f t="shared" si="92"/>
        <v>-2589.4</v>
      </c>
      <c r="AA107" s="27">
        <f t="shared" si="92"/>
        <v>-2536.6</v>
      </c>
      <c r="AB107" s="27">
        <f t="shared" si="92"/>
        <v>-2422.1999999999998</v>
      </c>
      <c r="AC107" s="4">
        <f t="shared" si="92"/>
        <v>-31343.4</v>
      </c>
      <c r="AD107" s="27">
        <f t="shared" si="92"/>
        <v>-2466.1999999999998</v>
      </c>
      <c r="AE107" s="27">
        <f t="shared" si="92"/>
        <v>-2576.1999999999998</v>
      </c>
      <c r="AF107" s="27">
        <f t="shared" si="92"/>
        <v>-2598.1999999999998</v>
      </c>
      <c r="AG107" s="27">
        <f t="shared" si="92"/>
        <v>-2800.6</v>
      </c>
      <c r="AH107" s="27">
        <f t="shared" si="92"/>
        <v>-2690.6</v>
      </c>
      <c r="AI107" s="27">
        <f t="shared" si="92"/>
        <v>-2743.4</v>
      </c>
      <c r="AJ107" s="27">
        <f t="shared" ref="AJ107:BP107" si="93">AJ30</f>
        <v>-2827</v>
      </c>
      <c r="AK107" s="27">
        <f t="shared" si="93"/>
        <v>-2783</v>
      </c>
      <c r="AL107" s="27">
        <f t="shared" si="93"/>
        <v>-2730.2</v>
      </c>
      <c r="AM107" s="27">
        <f t="shared" si="93"/>
        <v>-2615.8000000000002</v>
      </c>
      <c r="AN107" s="27">
        <f t="shared" si="93"/>
        <v>-2659.8</v>
      </c>
      <c r="AO107" s="27">
        <f t="shared" si="93"/>
        <v>-2769.8</v>
      </c>
      <c r="AP107" s="4">
        <f t="shared" si="93"/>
        <v>-32260.799999999999</v>
      </c>
      <c r="AQ107" s="28">
        <f t="shared" si="93"/>
        <v>0</v>
      </c>
      <c r="AR107" s="27">
        <f t="shared" si="93"/>
        <v>0</v>
      </c>
      <c r="AS107" s="27">
        <f t="shared" si="93"/>
        <v>0</v>
      </c>
      <c r="AT107" s="27">
        <f t="shared" si="93"/>
        <v>0</v>
      </c>
      <c r="AU107" s="27">
        <f t="shared" si="93"/>
        <v>0</v>
      </c>
      <c r="AV107" s="27">
        <f t="shared" si="93"/>
        <v>0</v>
      </c>
      <c r="AW107" s="27">
        <f t="shared" si="93"/>
        <v>0</v>
      </c>
      <c r="AX107" s="27">
        <f t="shared" si="93"/>
        <v>0</v>
      </c>
      <c r="AY107" s="27">
        <f t="shared" si="93"/>
        <v>0</v>
      </c>
      <c r="AZ107" s="27">
        <f t="shared" si="93"/>
        <v>0</v>
      </c>
      <c r="BA107" s="27">
        <f t="shared" si="93"/>
        <v>0</v>
      </c>
      <c r="BB107" s="27">
        <f t="shared" si="93"/>
        <v>0</v>
      </c>
      <c r="BC107" s="4">
        <f t="shared" si="93"/>
        <v>0</v>
      </c>
      <c r="BD107" s="27">
        <f t="shared" si="93"/>
        <v>0</v>
      </c>
      <c r="BE107" s="27">
        <f t="shared" si="93"/>
        <v>0</v>
      </c>
      <c r="BF107" s="27">
        <f t="shared" si="93"/>
        <v>0</v>
      </c>
      <c r="BG107" s="27">
        <f t="shared" si="93"/>
        <v>0</v>
      </c>
      <c r="BH107" s="27">
        <f t="shared" si="93"/>
        <v>0</v>
      </c>
      <c r="BI107" s="27">
        <f t="shared" si="93"/>
        <v>0</v>
      </c>
      <c r="BJ107" s="27">
        <f t="shared" si="93"/>
        <v>0</v>
      </c>
      <c r="BK107" s="27">
        <f t="shared" si="93"/>
        <v>0</v>
      </c>
      <c r="BL107" s="27">
        <f t="shared" si="93"/>
        <v>0</v>
      </c>
      <c r="BM107" s="27">
        <f t="shared" si="93"/>
        <v>0</v>
      </c>
      <c r="BN107" s="27">
        <f t="shared" si="93"/>
        <v>0</v>
      </c>
      <c r="BO107" s="27">
        <f t="shared" si="93"/>
        <v>0</v>
      </c>
      <c r="BP107" s="4">
        <f t="shared" si="93"/>
        <v>0</v>
      </c>
    </row>
    <row r="108" spans="1:68" customFormat="1" x14ac:dyDescent="0.25">
      <c r="A108" t="str">
        <f>"CT-OVERHD"</f>
        <v>CT-OVERHD</v>
      </c>
      <c r="B108" s="2" t="s">
        <v>132</v>
      </c>
      <c r="C108" t="s">
        <v>133</v>
      </c>
      <c r="D108" s="27">
        <f t="shared" ref="D108:AI108" si="94">D41+D57+D47</f>
        <v>0</v>
      </c>
      <c r="E108" s="27">
        <f t="shared" si="94"/>
        <v>-322.5</v>
      </c>
      <c r="F108" s="27">
        <f t="shared" si="94"/>
        <v>-235.17000000000002</v>
      </c>
      <c r="G108" s="27">
        <f t="shared" si="94"/>
        <v>-863.34</v>
      </c>
      <c r="H108" s="27">
        <f t="shared" si="94"/>
        <v>-280.16999999999996</v>
      </c>
      <c r="I108" s="27">
        <f t="shared" si="94"/>
        <v>-192.82999999999998</v>
      </c>
      <c r="J108" s="27">
        <f t="shared" si="94"/>
        <v>-410.33</v>
      </c>
      <c r="K108" s="27">
        <f t="shared" si="94"/>
        <v>-297.5</v>
      </c>
      <c r="L108" s="27">
        <f t="shared" si="94"/>
        <v>-240.17000000000002</v>
      </c>
      <c r="M108" s="27">
        <f t="shared" si="94"/>
        <v>-757</v>
      </c>
      <c r="N108" s="27">
        <f t="shared" si="94"/>
        <v>-150.17000000000002</v>
      </c>
      <c r="O108" s="27">
        <f t="shared" si="94"/>
        <v>3676.5</v>
      </c>
      <c r="P108" s="4">
        <f t="shared" si="94"/>
        <v>-72.680000000000291</v>
      </c>
      <c r="Q108" s="27">
        <f t="shared" si="94"/>
        <v>-975.84</v>
      </c>
      <c r="R108" s="27">
        <f t="shared" si="94"/>
        <v>-127</v>
      </c>
      <c r="S108" s="27">
        <f t="shared" si="94"/>
        <v>-162</v>
      </c>
      <c r="T108" s="27">
        <f t="shared" si="94"/>
        <v>-842.84</v>
      </c>
      <c r="U108" s="27">
        <f t="shared" si="94"/>
        <v>-224.17000000000002</v>
      </c>
      <c r="V108" s="27">
        <f t="shared" si="94"/>
        <v>-278</v>
      </c>
      <c r="W108" s="27">
        <f t="shared" si="94"/>
        <v>-600.5</v>
      </c>
      <c r="X108" s="27">
        <f t="shared" si="94"/>
        <v>-309</v>
      </c>
      <c r="Y108" s="27">
        <f t="shared" si="94"/>
        <v>-236.17000000000002</v>
      </c>
      <c r="Z108" s="27">
        <f t="shared" si="94"/>
        <v>-772.83</v>
      </c>
      <c r="AA108" s="27">
        <f t="shared" si="94"/>
        <v>-215.17000000000002</v>
      </c>
      <c r="AB108" s="27">
        <f t="shared" si="94"/>
        <v>-1318</v>
      </c>
      <c r="AC108" s="4">
        <f t="shared" si="94"/>
        <v>-6061.52</v>
      </c>
      <c r="AD108" s="27">
        <f t="shared" si="94"/>
        <v>-978.83</v>
      </c>
      <c r="AE108" s="27">
        <f t="shared" si="94"/>
        <v>-274.66999999999996</v>
      </c>
      <c r="AF108" s="27">
        <f t="shared" si="94"/>
        <v>-171.82999999999998</v>
      </c>
      <c r="AG108" s="27">
        <f t="shared" si="94"/>
        <v>-606.16</v>
      </c>
      <c r="AH108" s="27">
        <f t="shared" si="94"/>
        <v>-168.67000000000002</v>
      </c>
      <c r="AI108" s="27">
        <f t="shared" si="94"/>
        <v>-108</v>
      </c>
      <c r="AJ108" s="27">
        <f t="shared" ref="AJ108:BP108" si="95">AJ41+AJ57+AJ47</f>
        <v>-643.16</v>
      </c>
      <c r="AK108" s="27">
        <f t="shared" si="95"/>
        <v>-319</v>
      </c>
      <c r="AL108" s="27">
        <f t="shared" si="95"/>
        <v>-208</v>
      </c>
      <c r="AM108" s="27">
        <f t="shared" si="95"/>
        <v>-659.17</v>
      </c>
      <c r="AN108" s="27">
        <f t="shared" si="95"/>
        <v>-200.82999999999998</v>
      </c>
      <c r="AO108" s="27">
        <f t="shared" si="95"/>
        <v>-1112.5</v>
      </c>
      <c r="AP108" s="4">
        <f t="shared" si="95"/>
        <v>-5450.82</v>
      </c>
      <c r="AQ108" s="28">
        <f t="shared" si="95"/>
        <v>0</v>
      </c>
      <c r="AR108" s="27">
        <f t="shared" si="95"/>
        <v>0</v>
      </c>
      <c r="AS108" s="27">
        <f t="shared" si="95"/>
        <v>0</v>
      </c>
      <c r="AT108" s="27">
        <f t="shared" si="95"/>
        <v>0</v>
      </c>
      <c r="AU108" s="27">
        <f t="shared" si="95"/>
        <v>0</v>
      </c>
      <c r="AV108" s="27">
        <f t="shared" si="95"/>
        <v>0</v>
      </c>
      <c r="AW108" s="27">
        <f t="shared" si="95"/>
        <v>0</v>
      </c>
      <c r="AX108" s="27">
        <f t="shared" si="95"/>
        <v>0</v>
      </c>
      <c r="AY108" s="27">
        <f t="shared" si="95"/>
        <v>0</v>
      </c>
      <c r="AZ108" s="27">
        <f t="shared" si="95"/>
        <v>0</v>
      </c>
      <c r="BA108" s="27">
        <f t="shared" si="95"/>
        <v>0</v>
      </c>
      <c r="BB108" s="27">
        <f t="shared" si="95"/>
        <v>0</v>
      </c>
      <c r="BC108" s="4">
        <f t="shared" si="95"/>
        <v>0</v>
      </c>
      <c r="BD108" s="27">
        <f t="shared" si="95"/>
        <v>0</v>
      </c>
      <c r="BE108" s="27">
        <f t="shared" si="95"/>
        <v>0</v>
      </c>
      <c r="BF108" s="27">
        <f t="shared" si="95"/>
        <v>0</v>
      </c>
      <c r="BG108" s="27">
        <f t="shared" si="95"/>
        <v>0</v>
      </c>
      <c r="BH108" s="27">
        <f t="shared" si="95"/>
        <v>0</v>
      </c>
      <c r="BI108" s="27">
        <f t="shared" si="95"/>
        <v>0</v>
      </c>
      <c r="BJ108" s="27">
        <f t="shared" si="95"/>
        <v>0</v>
      </c>
      <c r="BK108" s="27">
        <f t="shared" si="95"/>
        <v>0</v>
      </c>
      <c r="BL108" s="27">
        <f t="shared" si="95"/>
        <v>0</v>
      </c>
      <c r="BM108" s="27">
        <f t="shared" si="95"/>
        <v>0</v>
      </c>
      <c r="BN108" s="27">
        <f t="shared" si="95"/>
        <v>0</v>
      </c>
      <c r="BO108" s="27">
        <f t="shared" si="95"/>
        <v>0</v>
      </c>
      <c r="BP108" s="4">
        <f t="shared" si="95"/>
        <v>0</v>
      </c>
    </row>
    <row r="109" spans="1:68" customFormat="1" x14ac:dyDescent="0.25">
      <c r="A109" t="str">
        <f>"CT-GROSSP"</f>
        <v>CT-GROSSP</v>
      </c>
      <c r="B109" s="2" t="s">
        <v>134</v>
      </c>
      <c r="C109" t="s">
        <v>135</v>
      </c>
      <c r="D109" s="27">
        <f t="shared" ref="D109:AI109" si="96">D106+D105+D104</f>
        <v>5001</v>
      </c>
      <c r="E109" s="27">
        <f t="shared" si="96"/>
        <v>4174.2304000000004</v>
      </c>
      <c r="F109" s="27">
        <f t="shared" si="96"/>
        <v>16641.999880000003</v>
      </c>
      <c r="G109" s="27">
        <f t="shared" si="96"/>
        <v>13360.74684</v>
      </c>
      <c r="H109" s="27">
        <f t="shared" si="96"/>
        <v>4844.23632</v>
      </c>
      <c r="I109" s="27">
        <f t="shared" si="96"/>
        <v>18131.765800000001</v>
      </c>
      <c r="J109" s="27">
        <f t="shared" si="96"/>
        <v>7918.2987200000007</v>
      </c>
      <c r="K109" s="27">
        <f t="shared" si="96"/>
        <v>19299.488400000002</v>
      </c>
      <c r="L109" s="27">
        <f t="shared" si="96"/>
        <v>12445.327879999999</v>
      </c>
      <c r="M109" s="27">
        <f t="shared" si="96"/>
        <v>25098.817360000001</v>
      </c>
      <c r="N109" s="27">
        <f t="shared" si="96"/>
        <v>19363.79104</v>
      </c>
      <c r="O109" s="27">
        <f t="shared" si="96"/>
        <v>24961.459519999997</v>
      </c>
      <c r="P109" s="4">
        <f t="shared" si="96"/>
        <v>171241.16215999998</v>
      </c>
      <c r="Q109" s="27">
        <f t="shared" si="96"/>
        <v>9750.0216799999998</v>
      </c>
      <c r="R109" s="27">
        <f t="shared" si="96"/>
        <v>33149.464240000001</v>
      </c>
      <c r="S109" s="27">
        <f t="shared" si="96"/>
        <v>14811.631040000002</v>
      </c>
      <c r="T109" s="27">
        <f t="shared" si="96"/>
        <v>27943.479199999998</v>
      </c>
      <c r="U109" s="27">
        <f t="shared" si="96"/>
        <v>20266.541679999998</v>
      </c>
      <c r="V109" s="27">
        <f t="shared" si="96"/>
        <v>26438.36996</v>
      </c>
      <c r="W109" s="27">
        <f t="shared" si="96"/>
        <v>19953.448120000001</v>
      </c>
      <c r="X109" s="27">
        <f t="shared" si="96"/>
        <v>17974.69284</v>
      </c>
      <c r="Y109" s="27">
        <f t="shared" si="96"/>
        <v>9481.0725600000005</v>
      </c>
      <c r="Z109" s="27">
        <f t="shared" si="96"/>
        <v>34954.560599999997</v>
      </c>
      <c r="AA109" s="27">
        <f t="shared" si="96"/>
        <v>8581.5092000000004</v>
      </c>
      <c r="AB109" s="27">
        <f t="shared" si="96"/>
        <v>24594.923159999998</v>
      </c>
      <c r="AC109" s="4">
        <f t="shared" si="96"/>
        <v>247899.71428000004</v>
      </c>
      <c r="AD109" s="27">
        <f t="shared" si="96"/>
        <v>2451.3771200000001</v>
      </c>
      <c r="AE109" s="27">
        <f t="shared" si="96"/>
        <v>21578.110720000001</v>
      </c>
      <c r="AF109" s="27">
        <f t="shared" si="96"/>
        <v>15632.450600000002</v>
      </c>
      <c r="AG109" s="27">
        <f t="shared" si="96"/>
        <v>31437.491039999997</v>
      </c>
      <c r="AH109" s="27">
        <f t="shared" si="96"/>
        <v>1991.0896400000001</v>
      </c>
      <c r="AI109" s="27">
        <f t="shared" si="96"/>
        <v>35342.321320000003</v>
      </c>
      <c r="AJ109" s="27">
        <f t="shared" ref="AJ109:BP109" si="97">AJ106+AJ105+AJ104</f>
        <v>10930.11924</v>
      </c>
      <c r="AK109" s="27">
        <f t="shared" si="97"/>
        <v>17047.237719999997</v>
      </c>
      <c r="AL109" s="27">
        <f t="shared" si="97"/>
        <v>10968.905879999998</v>
      </c>
      <c r="AM109" s="27">
        <f t="shared" si="97"/>
        <v>20588.046480000001</v>
      </c>
      <c r="AN109" s="27">
        <f t="shared" si="97"/>
        <v>24346.168799999999</v>
      </c>
      <c r="AO109" s="27">
        <f t="shared" si="97"/>
        <v>11480.227400000002</v>
      </c>
      <c r="AP109" s="4">
        <f t="shared" si="97"/>
        <v>203793.54595999999</v>
      </c>
      <c r="AQ109" s="28">
        <f t="shared" si="97"/>
        <v>0</v>
      </c>
      <c r="AR109" s="27">
        <f t="shared" si="97"/>
        <v>0</v>
      </c>
      <c r="AS109" s="27">
        <f t="shared" si="97"/>
        <v>0</v>
      </c>
      <c r="AT109" s="27">
        <f t="shared" si="97"/>
        <v>0</v>
      </c>
      <c r="AU109" s="27">
        <f t="shared" si="97"/>
        <v>0</v>
      </c>
      <c r="AV109" s="27">
        <f t="shared" si="97"/>
        <v>0</v>
      </c>
      <c r="AW109" s="27">
        <f t="shared" si="97"/>
        <v>0</v>
      </c>
      <c r="AX109" s="27">
        <f t="shared" si="97"/>
        <v>0</v>
      </c>
      <c r="AY109" s="27">
        <f t="shared" si="97"/>
        <v>0</v>
      </c>
      <c r="AZ109" s="27">
        <f t="shared" si="97"/>
        <v>0</v>
      </c>
      <c r="BA109" s="27">
        <f t="shared" si="97"/>
        <v>0</v>
      </c>
      <c r="BB109" s="27">
        <f t="shared" si="97"/>
        <v>0</v>
      </c>
      <c r="BC109" s="4">
        <f t="shared" si="97"/>
        <v>0</v>
      </c>
      <c r="BD109" s="27">
        <f t="shared" si="97"/>
        <v>0</v>
      </c>
      <c r="BE109" s="27">
        <f t="shared" si="97"/>
        <v>0</v>
      </c>
      <c r="BF109" s="27">
        <f t="shared" si="97"/>
        <v>0</v>
      </c>
      <c r="BG109" s="27">
        <f t="shared" si="97"/>
        <v>0</v>
      </c>
      <c r="BH109" s="27">
        <f t="shared" si="97"/>
        <v>0</v>
      </c>
      <c r="BI109" s="27">
        <f t="shared" si="97"/>
        <v>0</v>
      </c>
      <c r="BJ109" s="27">
        <f t="shared" si="97"/>
        <v>0</v>
      </c>
      <c r="BK109" s="27">
        <f t="shared" si="97"/>
        <v>0</v>
      </c>
      <c r="BL109" s="27">
        <f t="shared" si="97"/>
        <v>0</v>
      </c>
      <c r="BM109" s="27">
        <f t="shared" si="97"/>
        <v>0</v>
      </c>
      <c r="BN109" s="27">
        <f t="shared" si="97"/>
        <v>0</v>
      </c>
      <c r="BO109" s="27">
        <f t="shared" si="97"/>
        <v>0</v>
      </c>
      <c r="BP109" s="4">
        <f t="shared" si="97"/>
        <v>0</v>
      </c>
    </row>
    <row r="110" spans="1:68" s="12" customFormat="1" x14ac:dyDescent="0.25">
      <c r="A110" s="12" t="str">
        <f>"CT-PANDL"</f>
        <v>CT-PANDL</v>
      </c>
      <c r="B110" s="56" t="s">
        <v>136</v>
      </c>
      <c r="C110" s="12" t="s">
        <v>137</v>
      </c>
      <c r="D110" s="57">
        <f t="shared" ref="D110:AI110" si="98">D72+D109+D108+D107</f>
        <v>5001</v>
      </c>
      <c r="E110" s="57">
        <f t="shared" si="98"/>
        <v>1304.1304000000005</v>
      </c>
      <c r="F110" s="57">
        <f t="shared" si="98"/>
        <v>13898.829880000005</v>
      </c>
      <c r="G110" s="57">
        <f t="shared" si="98"/>
        <v>10031.206839999999</v>
      </c>
      <c r="H110" s="57">
        <f t="shared" si="98"/>
        <v>2102.2663199999997</v>
      </c>
      <c r="I110" s="57">
        <f t="shared" si="98"/>
        <v>15241.735799999999</v>
      </c>
      <c r="J110" s="57">
        <f t="shared" si="98"/>
        <v>4852.5687200000011</v>
      </c>
      <c r="K110" s="57">
        <f t="shared" si="98"/>
        <v>16423.588400000001</v>
      </c>
      <c r="L110" s="57">
        <f t="shared" si="98"/>
        <v>9391.3578799999996</v>
      </c>
      <c r="M110" s="57">
        <f t="shared" si="98"/>
        <v>21567.61736</v>
      </c>
      <c r="N110" s="57">
        <f t="shared" si="98"/>
        <v>16553.821040000003</v>
      </c>
      <c r="O110" s="57">
        <f t="shared" si="98"/>
        <v>26022.159519999997</v>
      </c>
      <c r="P110" s="58">
        <f t="shared" si="98"/>
        <v>142390.28215999997</v>
      </c>
      <c r="Q110" s="57">
        <f t="shared" si="98"/>
        <v>6211.1816799999997</v>
      </c>
      <c r="R110" s="57">
        <f t="shared" si="98"/>
        <v>30298.864240000003</v>
      </c>
      <c r="S110" s="57">
        <f t="shared" si="98"/>
        <v>11882.031040000002</v>
      </c>
      <c r="T110" s="57">
        <f t="shared" si="98"/>
        <v>24498.039199999999</v>
      </c>
      <c r="U110" s="57">
        <f t="shared" si="98"/>
        <v>17417.771680000002</v>
      </c>
      <c r="V110" s="57">
        <f t="shared" si="98"/>
        <v>23661.169959999999</v>
      </c>
      <c r="W110" s="57">
        <f t="shared" si="98"/>
        <v>16688.74812</v>
      </c>
      <c r="X110" s="57">
        <f t="shared" si="98"/>
        <v>14948.69284</v>
      </c>
      <c r="Y110" s="57">
        <f t="shared" si="98"/>
        <v>6611.5025600000008</v>
      </c>
      <c r="Z110" s="57">
        <f t="shared" si="98"/>
        <v>31592.330599999994</v>
      </c>
      <c r="AA110" s="57">
        <f t="shared" si="98"/>
        <v>5829.7392</v>
      </c>
      <c r="AB110" s="57">
        <f t="shared" si="98"/>
        <v>20854.723159999998</v>
      </c>
      <c r="AC110" s="58">
        <f t="shared" si="98"/>
        <v>210494.79428000006</v>
      </c>
      <c r="AD110" s="57">
        <f t="shared" si="98"/>
        <v>-993.65287999999964</v>
      </c>
      <c r="AE110" s="57">
        <f t="shared" si="98"/>
        <v>18727.240720000002</v>
      </c>
      <c r="AF110" s="57">
        <f t="shared" si="98"/>
        <v>12862.420600000001</v>
      </c>
      <c r="AG110" s="57">
        <f t="shared" si="98"/>
        <v>28030.731039999999</v>
      </c>
      <c r="AH110" s="57">
        <f t="shared" si="98"/>
        <v>-868.18035999999984</v>
      </c>
      <c r="AI110" s="57">
        <f t="shared" si="98"/>
        <v>32490.921320000001</v>
      </c>
      <c r="AJ110" s="57">
        <f t="shared" ref="AJ110:BO110" si="99">AJ72+AJ109+AJ108+AJ107</f>
        <v>7459.9592400000001</v>
      </c>
      <c r="AK110" s="57">
        <f t="shared" si="99"/>
        <v>13945.237719999997</v>
      </c>
      <c r="AL110" s="57">
        <f t="shared" si="99"/>
        <v>8030.7058799999986</v>
      </c>
      <c r="AM110" s="57">
        <f t="shared" si="99"/>
        <v>17313.076480000003</v>
      </c>
      <c r="AN110" s="57">
        <f t="shared" si="99"/>
        <v>21485.538799999998</v>
      </c>
      <c r="AO110" s="57">
        <f t="shared" si="99"/>
        <v>7597.9274000000014</v>
      </c>
      <c r="AP110" s="58">
        <f t="shared" si="99"/>
        <v>166081.92595999999</v>
      </c>
      <c r="AQ110" s="59">
        <f t="shared" si="99"/>
        <v>0</v>
      </c>
      <c r="AR110" s="57">
        <f t="shared" si="99"/>
        <v>0</v>
      </c>
      <c r="AS110" s="57">
        <f t="shared" si="99"/>
        <v>0</v>
      </c>
      <c r="AT110" s="57">
        <f t="shared" si="99"/>
        <v>0</v>
      </c>
      <c r="AU110" s="57">
        <f t="shared" si="99"/>
        <v>0</v>
      </c>
      <c r="AV110" s="57">
        <f t="shared" si="99"/>
        <v>0</v>
      </c>
      <c r="AW110" s="57">
        <f t="shared" si="99"/>
        <v>0</v>
      </c>
      <c r="AX110" s="57">
        <f t="shared" si="99"/>
        <v>0</v>
      </c>
      <c r="AY110" s="57">
        <f t="shared" si="99"/>
        <v>0</v>
      </c>
      <c r="AZ110" s="57">
        <f t="shared" si="99"/>
        <v>0</v>
      </c>
      <c r="BA110" s="57">
        <f t="shared" si="99"/>
        <v>0</v>
      </c>
      <c r="BB110" s="57">
        <f t="shared" si="99"/>
        <v>0</v>
      </c>
      <c r="BC110" s="58">
        <f t="shared" si="99"/>
        <v>0</v>
      </c>
      <c r="BD110" s="57">
        <f t="shared" si="99"/>
        <v>0</v>
      </c>
      <c r="BE110" s="57">
        <f t="shared" si="99"/>
        <v>0</v>
      </c>
      <c r="BF110" s="57">
        <f t="shared" si="99"/>
        <v>0</v>
      </c>
      <c r="BG110" s="57">
        <f t="shared" si="99"/>
        <v>0</v>
      </c>
      <c r="BH110" s="57">
        <f t="shared" si="99"/>
        <v>0</v>
      </c>
      <c r="BI110" s="57">
        <f t="shared" si="99"/>
        <v>0</v>
      </c>
      <c r="BJ110" s="57">
        <f t="shared" si="99"/>
        <v>0</v>
      </c>
      <c r="BK110" s="57">
        <f t="shared" si="99"/>
        <v>0</v>
      </c>
      <c r="BL110" s="57">
        <f t="shared" si="99"/>
        <v>0</v>
      </c>
      <c r="BM110" s="57">
        <f t="shared" si="99"/>
        <v>0</v>
      </c>
      <c r="BN110" s="57">
        <f t="shared" si="99"/>
        <v>0</v>
      </c>
      <c r="BO110" s="57">
        <f t="shared" si="99"/>
        <v>0</v>
      </c>
      <c r="BP110" s="58">
        <f t="shared" ref="BP110:CU110" si="100">BP72+BP109+BP108+BP107</f>
        <v>0</v>
      </c>
    </row>
    <row r="112" spans="1:68" s="8" customFormat="1" x14ac:dyDescent="0.25">
      <c r="A112" s="38" t="s">
        <v>138</v>
      </c>
      <c r="B112" s="39"/>
      <c r="C112" s="38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1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1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1"/>
      <c r="AQ112" s="42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1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1"/>
    </row>
    <row r="113" spans="1:68" x14ac:dyDescent="0.25">
      <c r="A113" t="s">
        <v>139</v>
      </c>
      <c r="B113" s="2" t="s">
        <v>140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4">
        <f>SUM(D113:O113)</f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4">
        <f>SUM(Q113:AB113)</f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4">
        <f>SUM(AD113:AO113)</f>
        <v>0</v>
      </c>
      <c r="AQ113" s="5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4">
        <f>SUM(AQ113:BB113)</f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4">
        <f>SUM(BD113:BO113)</f>
        <v>0</v>
      </c>
    </row>
    <row r="114" spans="1:68" x14ac:dyDescent="0.25">
      <c r="A114" t="s">
        <v>141</v>
      </c>
      <c r="B114" s="2" t="s">
        <v>142</v>
      </c>
      <c r="D114" s="3">
        <v>0</v>
      </c>
      <c r="E114" s="3">
        <v>0</v>
      </c>
      <c r="F114" s="3">
        <v>0</v>
      </c>
      <c r="G114" s="3">
        <v>0</v>
      </c>
      <c r="H114" s="3">
        <v>4122.8999999999996</v>
      </c>
      <c r="I114" s="3">
        <v>0</v>
      </c>
      <c r="J114" s="3">
        <v>0</v>
      </c>
      <c r="K114" s="3">
        <v>7087.68</v>
      </c>
      <c r="L114" s="3">
        <v>0</v>
      </c>
      <c r="M114" s="3">
        <v>0</v>
      </c>
      <c r="N114" s="3">
        <v>5887.01</v>
      </c>
      <c r="O114" s="3">
        <v>0</v>
      </c>
      <c r="P114" s="4">
        <f>SUM(D114:O114)</f>
        <v>17097.59</v>
      </c>
      <c r="Q114" s="3">
        <v>0</v>
      </c>
      <c r="R114" s="3">
        <v>10827.6</v>
      </c>
      <c r="S114" s="3">
        <v>0</v>
      </c>
      <c r="T114" s="3">
        <v>0</v>
      </c>
      <c r="U114" s="3">
        <v>8968.3700000000008</v>
      </c>
      <c r="V114" s="3">
        <v>0</v>
      </c>
      <c r="W114" s="3">
        <v>0</v>
      </c>
      <c r="X114" s="3">
        <v>7348.39</v>
      </c>
      <c r="Y114" s="3">
        <v>0</v>
      </c>
      <c r="Z114" s="3">
        <v>0</v>
      </c>
      <c r="AA114" s="3">
        <v>8013.69</v>
      </c>
      <c r="AB114" s="3">
        <v>0</v>
      </c>
      <c r="AC114" s="4">
        <f>SUM(Q114:AB114)</f>
        <v>35158.050000000003</v>
      </c>
      <c r="AD114" s="3">
        <v>0</v>
      </c>
      <c r="AE114" s="3">
        <v>13450.19</v>
      </c>
      <c r="AF114" s="3">
        <v>0</v>
      </c>
      <c r="AG114" s="3">
        <v>0</v>
      </c>
      <c r="AH114" s="3">
        <v>6917.97</v>
      </c>
      <c r="AI114" s="3">
        <v>0</v>
      </c>
      <c r="AJ114" s="3">
        <v>0</v>
      </c>
      <c r="AK114" s="3">
        <v>13621.99</v>
      </c>
      <c r="AL114" s="3">
        <v>0</v>
      </c>
      <c r="AM114" s="3">
        <v>0</v>
      </c>
      <c r="AN114" s="3">
        <v>4216.12</v>
      </c>
      <c r="AO114" s="3">
        <v>0</v>
      </c>
      <c r="AP114" s="4">
        <f>SUM(AD114:AO114)</f>
        <v>38206.270000000004</v>
      </c>
      <c r="AQ114" s="5">
        <v>0</v>
      </c>
      <c r="AR114" s="3">
        <v>0</v>
      </c>
      <c r="AS114" s="3">
        <v>0</v>
      </c>
      <c r="AT114" s="3">
        <v>0</v>
      </c>
      <c r="AU114" s="3">
        <v>14293.29558</v>
      </c>
      <c r="AV114" s="3">
        <v>0</v>
      </c>
      <c r="AW114" s="3">
        <v>0</v>
      </c>
      <c r="AX114" s="3">
        <v>5492.54493</v>
      </c>
      <c r="AY114" s="3">
        <v>0</v>
      </c>
      <c r="AZ114" s="3">
        <v>0</v>
      </c>
      <c r="BA114" s="3">
        <v>0</v>
      </c>
      <c r="BB114" s="3">
        <v>0</v>
      </c>
      <c r="BC114" s="4">
        <f>SUM(AQ114:BB114)</f>
        <v>19785.840510000002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4">
        <f>SUM(BD114:BO114)</f>
        <v>0</v>
      </c>
    </row>
    <row r="115" spans="1:68" s="10" customFormat="1" x14ac:dyDescent="0.25">
      <c r="A115" s="48" t="s">
        <v>20</v>
      </c>
      <c r="B115" s="49"/>
      <c r="C115" s="50" t="s">
        <v>143</v>
      </c>
      <c r="D115" s="51">
        <f t="shared" ref="D115:AI115" si="101">SUM(D113:D114)*-1</f>
        <v>0</v>
      </c>
      <c r="E115" s="51">
        <f t="shared" si="101"/>
        <v>0</v>
      </c>
      <c r="F115" s="51">
        <f t="shared" si="101"/>
        <v>0</v>
      </c>
      <c r="G115" s="51">
        <f t="shared" si="101"/>
        <v>0</v>
      </c>
      <c r="H115" s="51">
        <f t="shared" si="101"/>
        <v>-4122.8999999999996</v>
      </c>
      <c r="I115" s="51">
        <f t="shared" si="101"/>
        <v>0</v>
      </c>
      <c r="J115" s="51">
        <f t="shared" si="101"/>
        <v>0</v>
      </c>
      <c r="K115" s="51">
        <f t="shared" si="101"/>
        <v>-7087.68</v>
      </c>
      <c r="L115" s="51">
        <f t="shared" si="101"/>
        <v>0</v>
      </c>
      <c r="M115" s="51">
        <f t="shared" si="101"/>
        <v>0</v>
      </c>
      <c r="N115" s="51">
        <f t="shared" si="101"/>
        <v>-5887.01</v>
      </c>
      <c r="O115" s="51">
        <f t="shared" si="101"/>
        <v>0</v>
      </c>
      <c r="P115" s="52">
        <f t="shared" si="101"/>
        <v>-17097.59</v>
      </c>
      <c r="Q115" s="51">
        <f t="shared" si="101"/>
        <v>0</v>
      </c>
      <c r="R115" s="51">
        <f t="shared" si="101"/>
        <v>-10827.6</v>
      </c>
      <c r="S115" s="51">
        <f t="shared" si="101"/>
        <v>0</v>
      </c>
      <c r="T115" s="51">
        <f t="shared" si="101"/>
        <v>0</v>
      </c>
      <c r="U115" s="51">
        <f t="shared" si="101"/>
        <v>-8968.3700000000008</v>
      </c>
      <c r="V115" s="51">
        <f t="shared" si="101"/>
        <v>0</v>
      </c>
      <c r="W115" s="51">
        <f t="shared" si="101"/>
        <v>0</v>
      </c>
      <c r="X115" s="51">
        <f t="shared" si="101"/>
        <v>-7348.39</v>
      </c>
      <c r="Y115" s="51">
        <f t="shared" si="101"/>
        <v>0</v>
      </c>
      <c r="Z115" s="51">
        <f t="shared" si="101"/>
        <v>0</v>
      </c>
      <c r="AA115" s="51">
        <f t="shared" si="101"/>
        <v>-8013.69</v>
      </c>
      <c r="AB115" s="51">
        <f t="shared" si="101"/>
        <v>0</v>
      </c>
      <c r="AC115" s="52">
        <f t="shared" si="101"/>
        <v>-35158.050000000003</v>
      </c>
      <c r="AD115" s="51">
        <f t="shared" si="101"/>
        <v>0</v>
      </c>
      <c r="AE115" s="51">
        <f t="shared" si="101"/>
        <v>-13450.19</v>
      </c>
      <c r="AF115" s="51">
        <f t="shared" si="101"/>
        <v>0</v>
      </c>
      <c r="AG115" s="51">
        <f t="shared" si="101"/>
        <v>0</v>
      </c>
      <c r="AH115" s="51">
        <f t="shared" si="101"/>
        <v>-6917.97</v>
      </c>
      <c r="AI115" s="51">
        <f t="shared" si="101"/>
        <v>0</v>
      </c>
      <c r="AJ115" s="51">
        <f t="shared" ref="AJ115:BO115" si="102">SUM(AJ113:AJ114)*-1</f>
        <v>0</v>
      </c>
      <c r="AK115" s="51">
        <f t="shared" si="102"/>
        <v>-13621.99</v>
      </c>
      <c r="AL115" s="51">
        <f t="shared" si="102"/>
        <v>0</v>
      </c>
      <c r="AM115" s="51">
        <f t="shared" si="102"/>
        <v>0</v>
      </c>
      <c r="AN115" s="51">
        <f t="shared" si="102"/>
        <v>-4216.12</v>
      </c>
      <c r="AO115" s="51">
        <f t="shared" si="102"/>
        <v>0</v>
      </c>
      <c r="AP115" s="52">
        <f t="shared" si="102"/>
        <v>-38206.270000000004</v>
      </c>
      <c r="AQ115" s="51">
        <f t="shared" si="102"/>
        <v>0</v>
      </c>
      <c r="AR115" s="51">
        <f t="shared" si="102"/>
        <v>0</v>
      </c>
      <c r="AS115" s="51">
        <f t="shared" si="102"/>
        <v>0</v>
      </c>
      <c r="AT115" s="51">
        <f t="shared" si="102"/>
        <v>0</v>
      </c>
      <c r="AU115" s="51">
        <f t="shared" si="102"/>
        <v>-14293.29558</v>
      </c>
      <c r="AV115" s="51">
        <f t="shared" si="102"/>
        <v>0</v>
      </c>
      <c r="AW115" s="51">
        <f t="shared" si="102"/>
        <v>0</v>
      </c>
      <c r="AX115" s="51">
        <f t="shared" si="102"/>
        <v>-5492.54493</v>
      </c>
      <c r="AY115" s="51">
        <f t="shared" si="102"/>
        <v>0</v>
      </c>
      <c r="AZ115" s="51">
        <f t="shared" si="102"/>
        <v>0</v>
      </c>
      <c r="BA115" s="51">
        <f t="shared" si="102"/>
        <v>0</v>
      </c>
      <c r="BB115" s="51">
        <f t="shared" si="102"/>
        <v>0</v>
      </c>
      <c r="BC115" s="52">
        <f t="shared" si="102"/>
        <v>-19785.840510000002</v>
      </c>
      <c r="BD115" s="51">
        <f t="shared" si="102"/>
        <v>0</v>
      </c>
      <c r="BE115" s="51">
        <f t="shared" si="102"/>
        <v>0</v>
      </c>
      <c r="BF115" s="51">
        <f t="shared" si="102"/>
        <v>0</v>
      </c>
      <c r="BG115" s="51">
        <f t="shared" si="102"/>
        <v>0</v>
      </c>
      <c r="BH115" s="51">
        <f t="shared" si="102"/>
        <v>0</v>
      </c>
      <c r="BI115" s="51">
        <f t="shared" si="102"/>
        <v>0</v>
      </c>
      <c r="BJ115" s="51">
        <f t="shared" si="102"/>
        <v>0</v>
      </c>
      <c r="BK115" s="51">
        <f t="shared" si="102"/>
        <v>0</v>
      </c>
      <c r="BL115" s="51">
        <f t="shared" si="102"/>
        <v>0</v>
      </c>
      <c r="BM115" s="51">
        <f t="shared" si="102"/>
        <v>0</v>
      </c>
      <c r="BN115" s="51">
        <f t="shared" si="102"/>
        <v>0</v>
      </c>
      <c r="BO115" s="51">
        <f t="shared" si="102"/>
        <v>0</v>
      </c>
      <c r="BP115" s="52">
        <f t="shared" ref="BP115:CU115" si="103">SUM(BP113:BP114)*-1</f>
        <v>0</v>
      </c>
    </row>
    <row r="117" spans="1:68" s="8" customFormat="1" x14ac:dyDescent="0.25">
      <c r="A117" s="38" t="s">
        <v>144</v>
      </c>
      <c r="B117" s="39"/>
      <c r="C117" s="38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1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1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1"/>
      <c r="AQ117" s="42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1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1"/>
    </row>
    <row r="118" spans="1:68" x14ac:dyDescent="0.25">
      <c r="A118" t="s">
        <v>145</v>
      </c>
      <c r="B118" s="2" t="s">
        <v>146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4">
        <f>SUM(D118:O118)</f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26294.153610000001</v>
      </c>
      <c r="AA118" s="3">
        <v>0</v>
      </c>
      <c r="AB118" s="3">
        <v>0</v>
      </c>
      <c r="AC118" s="4">
        <f>SUM(Q118:AB118)</f>
        <v>26294.153610000001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40184.010909999997</v>
      </c>
      <c r="AN118" s="3">
        <v>0</v>
      </c>
      <c r="AO118" s="3">
        <v>0</v>
      </c>
      <c r="AP118" s="4">
        <f>SUM(AD118:AO118)</f>
        <v>40184.010909999997</v>
      </c>
      <c r="AQ118" s="5">
        <v>7275.0059499999998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4">
        <f>SUM(AQ118:BB118)</f>
        <v>7275.0059499999998</v>
      </c>
      <c r="BD118" s="3">
        <v>24770.399290000001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4">
        <f>SUM(BD118:BO118)</f>
        <v>24770.399290000001</v>
      </c>
    </row>
    <row r="119" spans="1:68" s="10" customFormat="1" x14ac:dyDescent="0.25">
      <c r="A119" s="48" t="s">
        <v>20</v>
      </c>
      <c r="B119" s="49"/>
      <c r="C119" s="50" t="s">
        <v>147</v>
      </c>
      <c r="D119" s="51">
        <f t="shared" ref="D119:AI119" si="104">SUM(D118:D118)*-1</f>
        <v>0</v>
      </c>
      <c r="E119" s="51">
        <f t="shared" si="104"/>
        <v>0</v>
      </c>
      <c r="F119" s="51">
        <f t="shared" si="104"/>
        <v>0</v>
      </c>
      <c r="G119" s="51">
        <f t="shared" si="104"/>
        <v>0</v>
      </c>
      <c r="H119" s="51">
        <f t="shared" si="104"/>
        <v>0</v>
      </c>
      <c r="I119" s="51">
        <f t="shared" si="104"/>
        <v>0</v>
      </c>
      <c r="J119" s="51">
        <f t="shared" si="104"/>
        <v>0</v>
      </c>
      <c r="K119" s="51">
        <f t="shared" si="104"/>
        <v>0</v>
      </c>
      <c r="L119" s="51">
        <f t="shared" si="104"/>
        <v>0</v>
      </c>
      <c r="M119" s="51">
        <f t="shared" si="104"/>
        <v>0</v>
      </c>
      <c r="N119" s="51">
        <f t="shared" si="104"/>
        <v>0</v>
      </c>
      <c r="O119" s="51">
        <f t="shared" si="104"/>
        <v>0</v>
      </c>
      <c r="P119" s="52">
        <f t="shared" si="104"/>
        <v>0</v>
      </c>
      <c r="Q119" s="51">
        <f t="shared" si="104"/>
        <v>0</v>
      </c>
      <c r="R119" s="51">
        <f t="shared" si="104"/>
        <v>0</v>
      </c>
      <c r="S119" s="51">
        <f t="shared" si="104"/>
        <v>0</v>
      </c>
      <c r="T119" s="51">
        <f t="shared" si="104"/>
        <v>0</v>
      </c>
      <c r="U119" s="51">
        <f t="shared" si="104"/>
        <v>0</v>
      </c>
      <c r="V119" s="51">
        <f t="shared" si="104"/>
        <v>0</v>
      </c>
      <c r="W119" s="51">
        <f t="shared" si="104"/>
        <v>0</v>
      </c>
      <c r="X119" s="51">
        <f t="shared" si="104"/>
        <v>0</v>
      </c>
      <c r="Y119" s="51">
        <f t="shared" si="104"/>
        <v>0</v>
      </c>
      <c r="Z119" s="51">
        <f t="shared" si="104"/>
        <v>-26294.153610000001</v>
      </c>
      <c r="AA119" s="51">
        <f t="shared" si="104"/>
        <v>0</v>
      </c>
      <c r="AB119" s="51">
        <f t="shared" si="104"/>
        <v>0</v>
      </c>
      <c r="AC119" s="52">
        <f t="shared" si="104"/>
        <v>-26294.153610000001</v>
      </c>
      <c r="AD119" s="51">
        <f t="shared" si="104"/>
        <v>0</v>
      </c>
      <c r="AE119" s="51">
        <f t="shared" si="104"/>
        <v>0</v>
      </c>
      <c r="AF119" s="51">
        <f t="shared" si="104"/>
        <v>0</v>
      </c>
      <c r="AG119" s="51">
        <f t="shared" si="104"/>
        <v>0</v>
      </c>
      <c r="AH119" s="51">
        <f t="shared" si="104"/>
        <v>0</v>
      </c>
      <c r="AI119" s="51">
        <f t="shared" si="104"/>
        <v>0</v>
      </c>
      <c r="AJ119" s="51">
        <f t="shared" ref="AJ119:BO119" si="105">SUM(AJ118:AJ118)*-1</f>
        <v>0</v>
      </c>
      <c r="AK119" s="51">
        <f t="shared" si="105"/>
        <v>0</v>
      </c>
      <c r="AL119" s="51">
        <f t="shared" si="105"/>
        <v>0</v>
      </c>
      <c r="AM119" s="51">
        <f t="shared" si="105"/>
        <v>-40184.010909999997</v>
      </c>
      <c r="AN119" s="51">
        <f t="shared" si="105"/>
        <v>0</v>
      </c>
      <c r="AO119" s="51">
        <f t="shared" si="105"/>
        <v>0</v>
      </c>
      <c r="AP119" s="52">
        <f t="shared" si="105"/>
        <v>-40184.010909999997</v>
      </c>
      <c r="AQ119" s="51">
        <f t="shared" si="105"/>
        <v>-7275.0059499999998</v>
      </c>
      <c r="AR119" s="51">
        <f t="shared" si="105"/>
        <v>0</v>
      </c>
      <c r="AS119" s="51">
        <f t="shared" si="105"/>
        <v>0</v>
      </c>
      <c r="AT119" s="51">
        <f t="shared" si="105"/>
        <v>0</v>
      </c>
      <c r="AU119" s="51">
        <f t="shared" si="105"/>
        <v>0</v>
      </c>
      <c r="AV119" s="51">
        <f t="shared" si="105"/>
        <v>0</v>
      </c>
      <c r="AW119" s="51">
        <f t="shared" si="105"/>
        <v>0</v>
      </c>
      <c r="AX119" s="51">
        <f t="shared" si="105"/>
        <v>0</v>
      </c>
      <c r="AY119" s="51">
        <f t="shared" si="105"/>
        <v>0</v>
      </c>
      <c r="AZ119" s="51">
        <f t="shared" si="105"/>
        <v>0</v>
      </c>
      <c r="BA119" s="51">
        <f t="shared" si="105"/>
        <v>0</v>
      </c>
      <c r="BB119" s="51">
        <f t="shared" si="105"/>
        <v>0</v>
      </c>
      <c r="BC119" s="52">
        <f t="shared" si="105"/>
        <v>-7275.0059499999998</v>
      </c>
      <c r="BD119" s="51">
        <f t="shared" si="105"/>
        <v>-24770.399290000001</v>
      </c>
      <c r="BE119" s="51">
        <f t="shared" si="105"/>
        <v>0</v>
      </c>
      <c r="BF119" s="51">
        <f t="shared" si="105"/>
        <v>0</v>
      </c>
      <c r="BG119" s="51">
        <f t="shared" si="105"/>
        <v>0</v>
      </c>
      <c r="BH119" s="51">
        <f t="shared" si="105"/>
        <v>0</v>
      </c>
      <c r="BI119" s="51">
        <f t="shared" si="105"/>
        <v>0</v>
      </c>
      <c r="BJ119" s="51">
        <f t="shared" si="105"/>
        <v>0</v>
      </c>
      <c r="BK119" s="51">
        <f t="shared" si="105"/>
        <v>0</v>
      </c>
      <c r="BL119" s="51">
        <f t="shared" si="105"/>
        <v>0</v>
      </c>
      <c r="BM119" s="51">
        <f t="shared" si="105"/>
        <v>0</v>
      </c>
      <c r="BN119" s="51">
        <f t="shared" si="105"/>
        <v>0</v>
      </c>
      <c r="BO119" s="51">
        <f t="shared" si="105"/>
        <v>0</v>
      </c>
      <c r="BP119" s="52">
        <f t="shared" ref="BP119:CU119" si="106">SUM(BP118:BP118)*-1</f>
        <v>-24770.399290000001</v>
      </c>
    </row>
    <row r="121" spans="1:68" s="11" customFormat="1" x14ac:dyDescent="0.25">
      <c r="A121" s="11" t="s">
        <v>98</v>
      </c>
      <c r="B121" s="53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5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5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5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5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5"/>
    </row>
    <row r="122" spans="1:68" customFormat="1" x14ac:dyDescent="0.25">
      <c r="A122" t="s">
        <v>143</v>
      </c>
      <c r="B122" s="2" t="s">
        <v>138</v>
      </c>
      <c r="D122" s="27">
        <f t="shared" ref="D122:AI122" si="107">D115</f>
        <v>0</v>
      </c>
      <c r="E122" s="27">
        <f t="shared" si="107"/>
        <v>0</v>
      </c>
      <c r="F122" s="27">
        <f t="shared" si="107"/>
        <v>0</v>
      </c>
      <c r="G122" s="27">
        <f t="shared" si="107"/>
        <v>0</v>
      </c>
      <c r="H122" s="27">
        <f t="shared" si="107"/>
        <v>-4122.8999999999996</v>
      </c>
      <c r="I122" s="27">
        <f t="shared" si="107"/>
        <v>0</v>
      </c>
      <c r="J122" s="27">
        <f t="shared" si="107"/>
        <v>0</v>
      </c>
      <c r="K122" s="27">
        <f t="shared" si="107"/>
        <v>-7087.68</v>
      </c>
      <c r="L122" s="27">
        <f t="shared" si="107"/>
        <v>0</v>
      </c>
      <c r="M122" s="27">
        <f t="shared" si="107"/>
        <v>0</v>
      </c>
      <c r="N122" s="27">
        <f t="shared" si="107"/>
        <v>-5887.01</v>
      </c>
      <c r="O122" s="27">
        <f t="shared" si="107"/>
        <v>0</v>
      </c>
      <c r="P122" s="4">
        <f t="shared" si="107"/>
        <v>-17097.59</v>
      </c>
      <c r="Q122" s="27">
        <f t="shared" si="107"/>
        <v>0</v>
      </c>
      <c r="R122" s="27">
        <f t="shared" si="107"/>
        <v>-10827.6</v>
      </c>
      <c r="S122" s="27">
        <f t="shared" si="107"/>
        <v>0</v>
      </c>
      <c r="T122" s="27">
        <f t="shared" si="107"/>
        <v>0</v>
      </c>
      <c r="U122" s="27">
        <f t="shared" si="107"/>
        <v>-8968.3700000000008</v>
      </c>
      <c r="V122" s="27">
        <f t="shared" si="107"/>
        <v>0</v>
      </c>
      <c r="W122" s="27">
        <f t="shared" si="107"/>
        <v>0</v>
      </c>
      <c r="X122" s="27">
        <f t="shared" si="107"/>
        <v>-7348.39</v>
      </c>
      <c r="Y122" s="27">
        <f t="shared" si="107"/>
        <v>0</v>
      </c>
      <c r="Z122" s="27">
        <f t="shared" si="107"/>
        <v>0</v>
      </c>
      <c r="AA122" s="27">
        <f t="shared" si="107"/>
        <v>-8013.69</v>
      </c>
      <c r="AB122" s="27">
        <f t="shared" si="107"/>
        <v>0</v>
      </c>
      <c r="AC122" s="4">
        <f t="shared" si="107"/>
        <v>-35158.050000000003</v>
      </c>
      <c r="AD122" s="27">
        <f t="shared" si="107"/>
        <v>0</v>
      </c>
      <c r="AE122" s="27">
        <f t="shared" si="107"/>
        <v>-13450.19</v>
      </c>
      <c r="AF122" s="27">
        <f t="shared" si="107"/>
        <v>0</v>
      </c>
      <c r="AG122" s="27">
        <f t="shared" si="107"/>
        <v>0</v>
      </c>
      <c r="AH122" s="27">
        <f t="shared" si="107"/>
        <v>-6917.97</v>
      </c>
      <c r="AI122" s="27">
        <f t="shared" si="107"/>
        <v>0</v>
      </c>
      <c r="AJ122" s="27">
        <f t="shared" ref="AJ122:BP122" si="108">AJ115</f>
        <v>0</v>
      </c>
      <c r="AK122" s="27">
        <f t="shared" si="108"/>
        <v>-13621.99</v>
      </c>
      <c r="AL122" s="27">
        <f t="shared" si="108"/>
        <v>0</v>
      </c>
      <c r="AM122" s="27">
        <f t="shared" si="108"/>
        <v>0</v>
      </c>
      <c r="AN122" s="27">
        <f t="shared" si="108"/>
        <v>-4216.12</v>
      </c>
      <c r="AO122" s="27">
        <f t="shared" si="108"/>
        <v>0</v>
      </c>
      <c r="AP122" s="4">
        <f t="shared" si="108"/>
        <v>-38206.270000000004</v>
      </c>
      <c r="AQ122" s="28">
        <f t="shared" si="108"/>
        <v>0</v>
      </c>
      <c r="AR122" s="27">
        <f t="shared" si="108"/>
        <v>0</v>
      </c>
      <c r="AS122" s="27">
        <f t="shared" si="108"/>
        <v>0</v>
      </c>
      <c r="AT122" s="27">
        <f t="shared" si="108"/>
        <v>0</v>
      </c>
      <c r="AU122" s="27">
        <f t="shared" si="108"/>
        <v>-14293.29558</v>
      </c>
      <c r="AV122" s="27">
        <f t="shared" si="108"/>
        <v>0</v>
      </c>
      <c r="AW122" s="27">
        <f t="shared" si="108"/>
        <v>0</v>
      </c>
      <c r="AX122" s="27">
        <f t="shared" si="108"/>
        <v>-5492.54493</v>
      </c>
      <c r="AY122" s="27">
        <f t="shared" si="108"/>
        <v>0</v>
      </c>
      <c r="AZ122" s="27">
        <f t="shared" si="108"/>
        <v>0</v>
      </c>
      <c r="BA122" s="27">
        <f t="shared" si="108"/>
        <v>0</v>
      </c>
      <c r="BB122" s="27">
        <f t="shared" si="108"/>
        <v>0</v>
      </c>
      <c r="BC122" s="4">
        <f t="shared" si="108"/>
        <v>-19785.840510000002</v>
      </c>
      <c r="BD122" s="27">
        <f t="shared" si="108"/>
        <v>0</v>
      </c>
      <c r="BE122" s="27">
        <f t="shared" si="108"/>
        <v>0</v>
      </c>
      <c r="BF122" s="27">
        <f t="shared" si="108"/>
        <v>0</v>
      </c>
      <c r="BG122" s="27">
        <f t="shared" si="108"/>
        <v>0</v>
      </c>
      <c r="BH122" s="27">
        <f t="shared" si="108"/>
        <v>0</v>
      </c>
      <c r="BI122" s="27">
        <f t="shared" si="108"/>
        <v>0</v>
      </c>
      <c r="BJ122" s="27">
        <f t="shared" si="108"/>
        <v>0</v>
      </c>
      <c r="BK122" s="27">
        <f t="shared" si="108"/>
        <v>0</v>
      </c>
      <c r="BL122" s="27">
        <f t="shared" si="108"/>
        <v>0</v>
      </c>
      <c r="BM122" s="27">
        <f t="shared" si="108"/>
        <v>0</v>
      </c>
      <c r="BN122" s="27">
        <f t="shared" si="108"/>
        <v>0</v>
      </c>
      <c r="BO122" s="27">
        <f t="shared" si="108"/>
        <v>0</v>
      </c>
      <c r="BP122" s="4">
        <f t="shared" si="108"/>
        <v>0</v>
      </c>
    </row>
    <row r="123" spans="1:68" s="12" customFormat="1" x14ac:dyDescent="0.25">
      <c r="A123" s="12" t="s">
        <v>147</v>
      </c>
      <c r="B123" s="56" t="s">
        <v>144</v>
      </c>
      <c r="D123" s="57">
        <f t="shared" ref="D123:AI123" si="109">D119</f>
        <v>0</v>
      </c>
      <c r="E123" s="57">
        <f t="shared" si="109"/>
        <v>0</v>
      </c>
      <c r="F123" s="57">
        <f t="shared" si="109"/>
        <v>0</v>
      </c>
      <c r="G123" s="57">
        <f t="shared" si="109"/>
        <v>0</v>
      </c>
      <c r="H123" s="57">
        <f t="shared" si="109"/>
        <v>0</v>
      </c>
      <c r="I123" s="57">
        <f t="shared" si="109"/>
        <v>0</v>
      </c>
      <c r="J123" s="57">
        <f t="shared" si="109"/>
        <v>0</v>
      </c>
      <c r="K123" s="57">
        <f t="shared" si="109"/>
        <v>0</v>
      </c>
      <c r="L123" s="57">
        <f t="shared" si="109"/>
        <v>0</v>
      </c>
      <c r="M123" s="57">
        <f t="shared" si="109"/>
        <v>0</v>
      </c>
      <c r="N123" s="57">
        <f t="shared" si="109"/>
        <v>0</v>
      </c>
      <c r="O123" s="57">
        <f t="shared" si="109"/>
        <v>0</v>
      </c>
      <c r="P123" s="58">
        <f t="shared" si="109"/>
        <v>0</v>
      </c>
      <c r="Q123" s="57">
        <f t="shared" si="109"/>
        <v>0</v>
      </c>
      <c r="R123" s="57">
        <f t="shared" si="109"/>
        <v>0</v>
      </c>
      <c r="S123" s="57">
        <f t="shared" si="109"/>
        <v>0</v>
      </c>
      <c r="T123" s="57">
        <f t="shared" si="109"/>
        <v>0</v>
      </c>
      <c r="U123" s="57">
        <f t="shared" si="109"/>
        <v>0</v>
      </c>
      <c r="V123" s="57">
        <f t="shared" si="109"/>
        <v>0</v>
      </c>
      <c r="W123" s="57">
        <f t="shared" si="109"/>
        <v>0</v>
      </c>
      <c r="X123" s="57">
        <f t="shared" si="109"/>
        <v>0</v>
      </c>
      <c r="Y123" s="57">
        <f t="shared" si="109"/>
        <v>0</v>
      </c>
      <c r="Z123" s="57">
        <f t="shared" si="109"/>
        <v>-26294.153610000001</v>
      </c>
      <c r="AA123" s="57">
        <f t="shared" si="109"/>
        <v>0</v>
      </c>
      <c r="AB123" s="57">
        <f t="shared" si="109"/>
        <v>0</v>
      </c>
      <c r="AC123" s="58">
        <f t="shared" si="109"/>
        <v>-26294.153610000001</v>
      </c>
      <c r="AD123" s="57">
        <f t="shared" si="109"/>
        <v>0</v>
      </c>
      <c r="AE123" s="57">
        <f t="shared" si="109"/>
        <v>0</v>
      </c>
      <c r="AF123" s="57">
        <f t="shared" si="109"/>
        <v>0</v>
      </c>
      <c r="AG123" s="57">
        <f t="shared" si="109"/>
        <v>0</v>
      </c>
      <c r="AH123" s="57">
        <f t="shared" si="109"/>
        <v>0</v>
      </c>
      <c r="AI123" s="57">
        <f t="shared" si="109"/>
        <v>0</v>
      </c>
      <c r="AJ123" s="57">
        <f t="shared" ref="AJ123:BP123" si="110">AJ119</f>
        <v>0</v>
      </c>
      <c r="AK123" s="57">
        <f t="shared" si="110"/>
        <v>0</v>
      </c>
      <c r="AL123" s="57">
        <f t="shared" si="110"/>
        <v>0</v>
      </c>
      <c r="AM123" s="57">
        <f t="shared" si="110"/>
        <v>-40184.010909999997</v>
      </c>
      <c r="AN123" s="57">
        <f t="shared" si="110"/>
        <v>0</v>
      </c>
      <c r="AO123" s="57">
        <f t="shared" si="110"/>
        <v>0</v>
      </c>
      <c r="AP123" s="58">
        <f t="shared" si="110"/>
        <v>-40184.010909999997</v>
      </c>
      <c r="AQ123" s="59">
        <f t="shared" si="110"/>
        <v>-7275.0059499999998</v>
      </c>
      <c r="AR123" s="57">
        <f t="shared" si="110"/>
        <v>0</v>
      </c>
      <c r="AS123" s="57">
        <f t="shared" si="110"/>
        <v>0</v>
      </c>
      <c r="AT123" s="57">
        <f t="shared" si="110"/>
        <v>0</v>
      </c>
      <c r="AU123" s="57">
        <f t="shared" si="110"/>
        <v>0</v>
      </c>
      <c r="AV123" s="57">
        <f t="shared" si="110"/>
        <v>0</v>
      </c>
      <c r="AW123" s="57">
        <f t="shared" si="110"/>
        <v>0</v>
      </c>
      <c r="AX123" s="57">
        <f t="shared" si="110"/>
        <v>0</v>
      </c>
      <c r="AY123" s="57">
        <f t="shared" si="110"/>
        <v>0</v>
      </c>
      <c r="AZ123" s="57">
        <f t="shared" si="110"/>
        <v>0</v>
      </c>
      <c r="BA123" s="57">
        <f t="shared" si="110"/>
        <v>0</v>
      </c>
      <c r="BB123" s="57">
        <f t="shared" si="110"/>
        <v>0</v>
      </c>
      <c r="BC123" s="58">
        <f t="shared" si="110"/>
        <v>-7275.0059499999998</v>
      </c>
      <c r="BD123" s="57">
        <f t="shared" si="110"/>
        <v>-24770.399290000001</v>
      </c>
      <c r="BE123" s="57">
        <f t="shared" si="110"/>
        <v>0</v>
      </c>
      <c r="BF123" s="57">
        <f t="shared" si="110"/>
        <v>0</v>
      </c>
      <c r="BG123" s="57">
        <f t="shared" si="110"/>
        <v>0</v>
      </c>
      <c r="BH123" s="57">
        <f t="shared" si="110"/>
        <v>0</v>
      </c>
      <c r="BI123" s="57">
        <f t="shared" si="110"/>
        <v>0</v>
      </c>
      <c r="BJ123" s="57">
        <f t="shared" si="110"/>
        <v>0</v>
      </c>
      <c r="BK123" s="57">
        <f t="shared" si="110"/>
        <v>0</v>
      </c>
      <c r="BL123" s="57">
        <f t="shared" si="110"/>
        <v>0</v>
      </c>
      <c r="BM123" s="57">
        <f t="shared" si="110"/>
        <v>0</v>
      </c>
      <c r="BN123" s="57">
        <f t="shared" si="110"/>
        <v>0</v>
      </c>
      <c r="BO123" s="57">
        <f t="shared" si="110"/>
        <v>0</v>
      </c>
      <c r="BP123" s="58">
        <f t="shared" si="110"/>
        <v>-24770.399290000001</v>
      </c>
    </row>
    <row r="124" spans="1:68" s="13" customFormat="1" x14ac:dyDescent="0.25">
      <c r="A124" s="13" t="s">
        <v>99</v>
      </c>
      <c r="B124" s="60"/>
      <c r="D124" s="61">
        <f t="shared" ref="D124:AI124" si="111">SUM(D122:D123)</f>
        <v>0</v>
      </c>
      <c r="E124" s="61">
        <f t="shared" si="111"/>
        <v>0</v>
      </c>
      <c r="F124" s="61">
        <f t="shared" si="111"/>
        <v>0</v>
      </c>
      <c r="G124" s="61">
        <f t="shared" si="111"/>
        <v>0</v>
      </c>
      <c r="H124" s="61">
        <f t="shared" si="111"/>
        <v>-4122.8999999999996</v>
      </c>
      <c r="I124" s="61">
        <f t="shared" si="111"/>
        <v>0</v>
      </c>
      <c r="J124" s="61">
        <f t="shared" si="111"/>
        <v>0</v>
      </c>
      <c r="K124" s="61">
        <f t="shared" si="111"/>
        <v>-7087.68</v>
      </c>
      <c r="L124" s="61">
        <f t="shared" si="111"/>
        <v>0</v>
      </c>
      <c r="M124" s="61">
        <f t="shared" si="111"/>
        <v>0</v>
      </c>
      <c r="N124" s="61">
        <f t="shared" si="111"/>
        <v>-5887.01</v>
      </c>
      <c r="O124" s="61">
        <f t="shared" si="111"/>
        <v>0</v>
      </c>
      <c r="P124" s="62">
        <f t="shared" si="111"/>
        <v>-17097.59</v>
      </c>
      <c r="Q124" s="61">
        <f t="shared" si="111"/>
        <v>0</v>
      </c>
      <c r="R124" s="61">
        <f t="shared" si="111"/>
        <v>-10827.6</v>
      </c>
      <c r="S124" s="61">
        <f t="shared" si="111"/>
        <v>0</v>
      </c>
      <c r="T124" s="61">
        <f t="shared" si="111"/>
        <v>0</v>
      </c>
      <c r="U124" s="61">
        <f t="shared" si="111"/>
        <v>-8968.3700000000008</v>
      </c>
      <c r="V124" s="61">
        <f t="shared" si="111"/>
        <v>0</v>
      </c>
      <c r="W124" s="61">
        <f t="shared" si="111"/>
        <v>0</v>
      </c>
      <c r="X124" s="61">
        <f t="shared" si="111"/>
        <v>-7348.39</v>
      </c>
      <c r="Y124" s="61">
        <f t="shared" si="111"/>
        <v>0</v>
      </c>
      <c r="Z124" s="61">
        <f t="shared" si="111"/>
        <v>-26294.153610000001</v>
      </c>
      <c r="AA124" s="61">
        <f t="shared" si="111"/>
        <v>-8013.69</v>
      </c>
      <c r="AB124" s="61">
        <f t="shared" si="111"/>
        <v>0</v>
      </c>
      <c r="AC124" s="62">
        <f t="shared" si="111"/>
        <v>-61452.203610000004</v>
      </c>
      <c r="AD124" s="61">
        <f t="shared" si="111"/>
        <v>0</v>
      </c>
      <c r="AE124" s="61">
        <f t="shared" si="111"/>
        <v>-13450.19</v>
      </c>
      <c r="AF124" s="61">
        <f t="shared" si="111"/>
        <v>0</v>
      </c>
      <c r="AG124" s="61">
        <f t="shared" si="111"/>
        <v>0</v>
      </c>
      <c r="AH124" s="61">
        <f t="shared" si="111"/>
        <v>-6917.97</v>
      </c>
      <c r="AI124" s="61">
        <f t="shared" si="111"/>
        <v>0</v>
      </c>
      <c r="AJ124" s="61">
        <f t="shared" ref="AJ124:BO124" si="112">SUM(AJ122:AJ123)</f>
        <v>0</v>
      </c>
      <c r="AK124" s="61">
        <f t="shared" si="112"/>
        <v>-13621.99</v>
      </c>
      <c r="AL124" s="61">
        <f t="shared" si="112"/>
        <v>0</v>
      </c>
      <c r="AM124" s="61">
        <f t="shared" si="112"/>
        <v>-40184.010909999997</v>
      </c>
      <c r="AN124" s="61">
        <f t="shared" si="112"/>
        <v>-4216.12</v>
      </c>
      <c r="AO124" s="61">
        <f t="shared" si="112"/>
        <v>0</v>
      </c>
      <c r="AP124" s="62">
        <f t="shared" si="112"/>
        <v>-78390.280910000001</v>
      </c>
      <c r="AQ124" s="63">
        <f t="shared" si="112"/>
        <v>-7275.0059499999998</v>
      </c>
      <c r="AR124" s="61">
        <f t="shared" si="112"/>
        <v>0</v>
      </c>
      <c r="AS124" s="61">
        <f t="shared" si="112"/>
        <v>0</v>
      </c>
      <c r="AT124" s="61">
        <f t="shared" si="112"/>
        <v>0</v>
      </c>
      <c r="AU124" s="61">
        <f t="shared" si="112"/>
        <v>-14293.29558</v>
      </c>
      <c r="AV124" s="61">
        <f t="shared" si="112"/>
        <v>0</v>
      </c>
      <c r="AW124" s="61">
        <f t="shared" si="112"/>
        <v>0</v>
      </c>
      <c r="AX124" s="61">
        <f t="shared" si="112"/>
        <v>-5492.54493</v>
      </c>
      <c r="AY124" s="61">
        <f t="shared" si="112"/>
        <v>0</v>
      </c>
      <c r="AZ124" s="61">
        <f t="shared" si="112"/>
        <v>0</v>
      </c>
      <c r="BA124" s="61">
        <f t="shared" si="112"/>
        <v>0</v>
      </c>
      <c r="BB124" s="61">
        <f t="shared" si="112"/>
        <v>0</v>
      </c>
      <c r="BC124" s="62">
        <f t="shared" si="112"/>
        <v>-27060.846460000001</v>
      </c>
      <c r="BD124" s="61">
        <f t="shared" si="112"/>
        <v>-24770.399290000001</v>
      </c>
      <c r="BE124" s="61">
        <f t="shared" si="112"/>
        <v>0</v>
      </c>
      <c r="BF124" s="61">
        <f t="shared" si="112"/>
        <v>0</v>
      </c>
      <c r="BG124" s="61">
        <f t="shared" si="112"/>
        <v>0</v>
      </c>
      <c r="BH124" s="61">
        <f t="shared" si="112"/>
        <v>0</v>
      </c>
      <c r="BI124" s="61">
        <f t="shared" si="112"/>
        <v>0</v>
      </c>
      <c r="BJ124" s="61">
        <f t="shared" si="112"/>
        <v>0</v>
      </c>
      <c r="BK124" s="61">
        <f t="shared" si="112"/>
        <v>0</v>
      </c>
      <c r="BL124" s="61">
        <f t="shared" si="112"/>
        <v>0</v>
      </c>
      <c r="BM124" s="61">
        <f t="shared" si="112"/>
        <v>0</v>
      </c>
      <c r="BN124" s="61">
        <f t="shared" si="112"/>
        <v>0</v>
      </c>
      <c r="BO124" s="61">
        <f t="shared" si="112"/>
        <v>0</v>
      </c>
      <c r="BP124" s="62">
        <f t="shared" ref="BP124:CU124" si="113">SUM(BP122:BP123)</f>
        <v>-24770.399290000001</v>
      </c>
    </row>
    <row r="126" spans="1:68" s="16" customFormat="1" x14ac:dyDescent="0.25">
      <c r="A126" s="16" t="s">
        <v>148</v>
      </c>
      <c r="B126" s="73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5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5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5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75"/>
      <c r="BD126" s="74"/>
      <c r="BE126" s="74"/>
      <c r="BF126" s="74"/>
      <c r="BG126" s="74"/>
      <c r="BH126" s="74"/>
      <c r="BI126" s="74"/>
      <c r="BJ126" s="74"/>
      <c r="BK126" s="74"/>
      <c r="BL126" s="74"/>
      <c r="BM126" s="74"/>
      <c r="BN126" s="74"/>
      <c r="BO126" s="74"/>
      <c r="BP126" s="75"/>
    </row>
    <row r="127" spans="1:68" s="17" customFormat="1" x14ac:dyDescent="0.25">
      <c r="A127" s="17" t="s">
        <v>149</v>
      </c>
      <c r="B127" s="76"/>
      <c r="C127" s="77" t="s">
        <v>150</v>
      </c>
      <c r="D127" s="17">
        <f t="shared" ref="D127:AI127" si="114">IF(D10=0,0,(D109/D10))</f>
        <v>0</v>
      </c>
      <c r="E127" s="17">
        <f t="shared" si="114"/>
        <v>0.46416697524171713</v>
      </c>
      <c r="F127" s="17">
        <f t="shared" si="114"/>
        <v>0.84872092013955303</v>
      </c>
      <c r="G127" s="17">
        <f t="shared" si="114"/>
        <v>0.79782847765996134</v>
      </c>
      <c r="H127" s="17">
        <f t="shared" si="114"/>
        <v>0.82463227348402057</v>
      </c>
      <c r="I127" s="17">
        <f t="shared" si="114"/>
        <v>0.77612049456276322</v>
      </c>
      <c r="J127" s="17">
        <f t="shared" si="114"/>
        <v>0.8168988643491466</v>
      </c>
      <c r="K127" s="17">
        <f t="shared" si="114"/>
        <v>0.76660106294239616</v>
      </c>
      <c r="L127" s="17">
        <f t="shared" si="114"/>
        <v>0.91290733189413931</v>
      </c>
      <c r="M127" s="17">
        <f t="shared" si="114"/>
        <v>0.78949293795173858</v>
      </c>
      <c r="N127" s="17">
        <f t="shared" si="114"/>
        <v>0.72594688428812648</v>
      </c>
      <c r="O127" s="17">
        <f t="shared" si="114"/>
        <v>0.79461133235413395</v>
      </c>
      <c r="P127" s="78">
        <f t="shared" si="114"/>
        <v>0.80408649233547458</v>
      </c>
      <c r="Q127" s="17">
        <f t="shared" si="114"/>
        <v>0.82322847367870011</v>
      </c>
      <c r="R127" s="17">
        <f t="shared" si="114"/>
        <v>0.79226204962819247</v>
      </c>
      <c r="S127" s="17">
        <f t="shared" si="114"/>
        <v>0.89150217163108281</v>
      </c>
      <c r="T127" s="17">
        <f t="shared" si="114"/>
        <v>0.79040876639172697</v>
      </c>
      <c r="U127" s="17">
        <f t="shared" si="114"/>
        <v>0.75903285933436393</v>
      </c>
      <c r="V127" s="17">
        <f t="shared" si="114"/>
        <v>0.93410546503053871</v>
      </c>
      <c r="W127" s="17">
        <f t="shared" si="114"/>
        <v>0.85214445430967523</v>
      </c>
      <c r="X127" s="17">
        <f t="shared" si="114"/>
        <v>0.73791099840756291</v>
      </c>
      <c r="Y127" s="17">
        <f t="shared" si="114"/>
        <v>0.91758294185621136</v>
      </c>
      <c r="Z127" s="17">
        <f t="shared" si="114"/>
        <v>0.82134225765634306</v>
      </c>
      <c r="AA127" s="17">
        <f t="shared" si="114"/>
        <v>0.83289746874757353</v>
      </c>
      <c r="AB127" s="17">
        <f t="shared" si="114"/>
        <v>0.80121298584785339</v>
      </c>
      <c r="AC127" s="78">
        <f t="shared" si="114"/>
        <v>0.81998626126155183</v>
      </c>
      <c r="AD127" s="17">
        <f t="shared" si="114"/>
        <v>0.23151021071176786</v>
      </c>
      <c r="AE127" s="17">
        <f t="shared" si="114"/>
        <v>0.98334325512381282</v>
      </c>
      <c r="AF127" s="17">
        <f t="shared" si="114"/>
        <v>0.84556179936335885</v>
      </c>
      <c r="AG127" s="17">
        <f t="shared" si="114"/>
        <v>0.79693821106554885</v>
      </c>
      <c r="AH127" s="17">
        <f t="shared" si="114"/>
        <v>0.28145036391830253</v>
      </c>
      <c r="AI127" s="17">
        <f t="shared" si="114"/>
        <v>0.93576259032997633</v>
      </c>
      <c r="AJ127" s="17">
        <f t="shared" ref="AJ127:BP127" si="115">IF(AJ10=0,0,(AJ109/AJ10))</f>
        <v>0.83390891799781641</v>
      </c>
      <c r="AK127" s="17">
        <f t="shared" si="115"/>
        <v>0.78213155611590623</v>
      </c>
      <c r="AL127" s="17">
        <f t="shared" si="115"/>
        <v>0.8387533429222267</v>
      </c>
      <c r="AM127" s="17">
        <f t="shared" si="115"/>
        <v>0.76521037960117566</v>
      </c>
      <c r="AN127" s="17">
        <f t="shared" si="115"/>
        <v>0.88205962719417419</v>
      </c>
      <c r="AO127" s="17">
        <f t="shared" si="115"/>
        <v>0.4460826674282562</v>
      </c>
      <c r="AP127" s="78">
        <f t="shared" si="115"/>
        <v>0.7733119469000943</v>
      </c>
      <c r="AQ127" s="79">
        <f t="shared" si="115"/>
        <v>0</v>
      </c>
      <c r="AR127" s="17">
        <f t="shared" si="115"/>
        <v>0</v>
      </c>
      <c r="AS127" s="17">
        <f t="shared" si="115"/>
        <v>0</v>
      </c>
      <c r="AT127" s="17">
        <f t="shared" si="115"/>
        <v>0</v>
      </c>
      <c r="AU127" s="17">
        <f t="shared" si="115"/>
        <v>0</v>
      </c>
      <c r="AV127" s="17">
        <f t="shared" si="115"/>
        <v>0</v>
      </c>
      <c r="AW127" s="17">
        <f t="shared" si="115"/>
        <v>0</v>
      </c>
      <c r="AX127" s="17">
        <f t="shared" si="115"/>
        <v>0</v>
      </c>
      <c r="AY127" s="17">
        <f t="shared" si="115"/>
        <v>0</v>
      </c>
      <c r="AZ127" s="17">
        <f t="shared" si="115"/>
        <v>0</v>
      </c>
      <c r="BA127" s="17">
        <f t="shared" si="115"/>
        <v>0</v>
      </c>
      <c r="BB127" s="17">
        <f t="shared" si="115"/>
        <v>0</v>
      </c>
      <c r="BC127" s="78">
        <f t="shared" si="115"/>
        <v>0</v>
      </c>
      <c r="BD127" s="17">
        <f t="shared" si="115"/>
        <v>0</v>
      </c>
      <c r="BE127" s="17">
        <f t="shared" si="115"/>
        <v>0</v>
      </c>
      <c r="BF127" s="17">
        <f t="shared" si="115"/>
        <v>0</v>
      </c>
      <c r="BG127" s="17">
        <f t="shared" si="115"/>
        <v>0</v>
      </c>
      <c r="BH127" s="17">
        <f t="shared" si="115"/>
        <v>0</v>
      </c>
      <c r="BI127" s="17">
        <f t="shared" si="115"/>
        <v>0</v>
      </c>
      <c r="BJ127" s="17">
        <f t="shared" si="115"/>
        <v>0</v>
      </c>
      <c r="BK127" s="17">
        <f t="shared" si="115"/>
        <v>0</v>
      </c>
      <c r="BL127" s="17">
        <f t="shared" si="115"/>
        <v>0</v>
      </c>
      <c r="BM127" s="17">
        <f t="shared" si="115"/>
        <v>0</v>
      </c>
      <c r="BN127" s="17">
        <f t="shared" si="115"/>
        <v>0</v>
      </c>
      <c r="BO127" s="17">
        <f t="shared" si="115"/>
        <v>0</v>
      </c>
      <c r="BP127" s="78">
        <f t="shared" si="115"/>
        <v>0</v>
      </c>
    </row>
    <row r="128" spans="1:68" s="17" customFormat="1" x14ac:dyDescent="0.25">
      <c r="A128" s="17" t="s">
        <v>151</v>
      </c>
      <c r="B128" s="76"/>
      <c r="C128" s="77" t="s">
        <v>152</v>
      </c>
      <c r="D128" s="17">
        <f t="shared" ref="D128:AI128" si="116">IF(D10=0,0,(D110/D10))</f>
        <v>0</v>
      </c>
      <c r="E128" s="17">
        <f t="shared" si="116"/>
        <v>0.14501697440773054</v>
      </c>
      <c r="F128" s="17">
        <f t="shared" si="116"/>
        <v>0.70882272381176792</v>
      </c>
      <c r="G128" s="17">
        <f t="shared" si="116"/>
        <v>0.59900711974341925</v>
      </c>
      <c r="H128" s="17">
        <f t="shared" si="116"/>
        <v>0.35786789504325528</v>
      </c>
      <c r="I128" s="17">
        <f t="shared" si="116"/>
        <v>0.65241431295626873</v>
      </c>
      <c r="J128" s="17">
        <f t="shared" si="116"/>
        <v>0.50061989534845341</v>
      </c>
      <c r="K128" s="17">
        <f t="shared" si="116"/>
        <v>0.65236653240862108</v>
      </c>
      <c r="L128" s="17">
        <f t="shared" si="116"/>
        <v>0.68888819545458213</v>
      </c>
      <c r="M128" s="17">
        <f t="shared" si="116"/>
        <v>0.67841768597838514</v>
      </c>
      <c r="N128" s="17">
        <f t="shared" si="116"/>
        <v>0.62060134723759319</v>
      </c>
      <c r="O128" s="17">
        <f t="shared" si="116"/>
        <v>0.8283771560052996</v>
      </c>
      <c r="P128" s="78">
        <f t="shared" si="116"/>
        <v>0.66861320654735323</v>
      </c>
      <c r="Q128" s="17">
        <f t="shared" si="116"/>
        <v>0.52443181994724597</v>
      </c>
      <c r="R128" s="17">
        <f t="shared" si="116"/>
        <v>0.72413358208134793</v>
      </c>
      <c r="S128" s="17">
        <f t="shared" si="116"/>
        <v>0.7151715058889242</v>
      </c>
      <c r="T128" s="17">
        <f t="shared" si="116"/>
        <v>0.69295111050767688</v>
      </c>
      <c r="U128" s="17">
        <f t="shared" si="116"/>
        <v>0.65233927180335338</v>
      </c>
      <c r="V128" s="17">
        <f t="shared" si="116"/>
        <v>0.83598301264759267</v>
      </c>
      <c r="W128" s="17">
        <f t="shared" si="116"/>
        <v>0.7127201310922604</v>
      </c>
      <c r="X128" s="17">
        <f t="shared" si="116"/>
        <v>0.61368530503647745</v>
      </c>
      <c r="Y128" s="17">
        <f t="shared" si="116"/>
        <v>0.63986452278503314</v>
      </c>
      <c r="Z128" s="17">
        <f t="shared" si="116"/>
        <v>0.742338501592538</v>
      </c>
      <c r="AA128" s="17">
        <f t="shared" si="116"/>
        <v>0.56581830887491258</v>
      </c>
      <c r="AB128" s="17">
        <f t="shared" si="116"/>
        <v>0.6793708971300555</v>
      </c>
      <c r="AC128" s="78">
        <f t="shared" si="116"/>
        <v>0.69626074349453948</v>
      </c>
      <c r="AD128" s="17">
        <f t="shared" si="116"/>
        <v>-9.3841451707420226E-2</v>
      </c>
      <c r="AE128" s="17">
        <f t="shared" si="116"/>
        <v>0.85342531086484374</v>
      </c>
      <c r="AF128" s="17">
        <f t="shared" si="116"/>
        <v>0.69573042544617625</v>
      </c>
      <c r="AG128" s="17">
        <f t="shared" si="116"/>
        <v>0.71057708204048686</v>
      </c>
      <c r="AH128" s="17">
        <f t="shared" si="116"/>
        <v>-0.12272158588938407</v>
      </c>
      <c r="AI128" s="17">
        <f t="shared" si="116"/>
        <v>0.86026575394767113</v>
      </c>
      <c r="AJ128" s="17">
        <f t="shared" ref="AJ128:BP128" si="117">IF(AJ10=0,0,(AJ110/AJ10))</f>
        <v>0.56915449882468194</v>
      </c>
      <c r="AK128" s="17">
        <f t="shared" si="117"/>
        <v>0.63981101557313369</v>
      </c>
      <c r="AL128" s="17">
        <f t="shared" si="117"/>
        <v>0.61407960616717239</v>
      </c>
      <c r="AM128" s="17">
        <f t="shared" si="117"/>
        <v>0.64348727006201067</v>
      </c>
      <c r="AN128" s="17">
        <f t="shared" si="117"/>
        <v>0.77841924533086959</v>
      </c>
      <c r="AO128" s="17">
        <f t="shared" si="117"/>
        <v>0.29522966779545107</v>
      </c>
      <c r="AP128" s="78">
        <f t="shared" si="117"/>
        <v>0.63021199667556405</v>
      </c>
      <c r="AQ128" s="79">
        <f t="shared" si="117"/>
        <v>0</v>
      </c>
      <c r="AR128" s="17">
        <f t="shared" si="117"/>
        <v>0</v>
      </c>
      <c r="AS128" s="17">
        <f t="shared" si="117"/>
        <v>0</v>
      </c>
      <c r="AT128" s="17">
        <f t="shared" si="117"/>
        <v>0</v>
      </c>
      <c r="AU128" s="17">
        <f t="shared" si="117"/>
        <v>0</v>
      </c>
      <c r="AV128" s="17">
        <f t="shared" si="117"/>
        <v>0</v>
      </c>
      <c r="AW128" s="17">
        <f t="shared" si="117"/>
        <v>0</v>
      </c>
      <c r="AX128" s="17">
        <f t="shared" si="117"/>
        <v>0</v>
      </c>
      <c r="AY128" s="17">
        <f t="shared" si="117"/>
        <v>0</v>
      </c>
      <c r="AZ128" s="17">
        <f t="shared" si="117"/>
        <v>0</v>
      </c>
      <c r="BA128" s="17">
        <f t="shared" si="117"/>
        <v>0</v>
      </c>
      <c r="BB128" s="17">
        <f t="shared" si="117"/>
        <v>0</v>
      </c>
      <c r="BC128" s="78">
        <f t="shared" si="117"/>
        <v>0</v>
      </c>
      <c r="BD128" s="17">
        <f t="shared" si="117"/>
        <v>0</v>
      </c>
      <c r="BE128" s="17">
        <f t="shared" si="117"/>
        <v>0</v>
      </c>
      <c r="BF128" s="17">
        <f t="shared" si="117"/>
        <v>0</v>
      </c>
      <c r="BG128" s="17">
        <f t="shared" si="117"/>
        <v>0</v>
      </c>
      <c r="BH128" s="17">
        <f t="shared" si="117"/>
        <v>0</v>
      </c>
      <c r="BI128" s="17">
        <f t="shared" si="117"/>
        <v>0</v>
      </c>
      <c r="BJ128" s="17">
        <f t="shared" si="117"/>
        <v>0</v>
      </c>
      <c r="BK128" s="17">
        <f t="shared" si="117"/>
        <v>0</v>
      </c>
      <c r="BL128" s="17">
        <f t="shared" si="117"/>
        <v>0</v>
      </c>
      <c r="BM128" s="17">
        <f t="shared" si="117"/>
        <v>0</v>
      </c>
      <c r="BN128" s="17">
        <f t="shared" si="117"/>
        <v>0</v>
      </c>
      <c r="BO128" s="17">
        <f t="shared" si="117"/>
        <v>0</v>
      </c>
      <c r="BP128" s="78">
        <f t="shared" si="117"/>
        <v>0</v>
      </c>
    </row>
    <row r="129" spans="1:68" s="18" customFormat="1" x14ac:dyDescent="0.25">
      <c r="A129" s="18" t="s">
        <v>153</v>
      </c>
      <c r="B129" s="80"/>
      <c r="C129" s="81" t="s">
        <v>154</v>
      </c>
      <c r="D129" s="18">
        <f t="shared" ref="D129:AI129" si="118">IF(D10=0,0,(ABS(D30)/D10))</f>
        <v>0</v>
      </c>
      <c r="E129" s="18">
        <f t="shared" si="118"/>
        <v>0.28328857605124008</v>
      </c>
      <c r="F129" s="18">
        <f t="shared" si="118"/>
        <v>0.12790482412321702</v>
      </c>
      <c r="G129" s="18">
        <f t="shared" si="118"/>
        <v>0.14726756035181313</v>
      </c>
      <c r="H129" s="18">
        <f t="shared" si="118"/>
        <v>0.41907115936552036</v>
      </c>
      <c r="I129" s="18">
        <f t="shared" si="118"/>
        <v>0.11545219704606402</v>
      </c>
      <c r="J129" s="18">
        <f t="shared" si="118"/>
        <v>0.27394688191211908</v>
      </c>
      <c r="K129" s="18">
        <f t="shared" si="118"/>
        <v>0.10241743924624833</v>
      </c>
      <c r="L129" s="18">
        <f t="shared" si="118"/>
        <v>0.20640184615881163</v>
      </c>
      <c r="M129" s="18">
        <f t="shared" si="118"/>
        <v>8.7263526286949847E-2</v>
      </c>
      <c r="N129" s="18">
        <f t="shared" si="118"/>
        <v>9.9715676483026067E-2</v>
      </c>
      <c r="O129" s="18">
        <f t="shared" si="118"/>
        <v>8.3270143779314715E-2</v>
      </c>
      <c r="P129" s="82">
        <f t="shared" si="118"/>
        <v>0.1351320068250158</v>
      </c>
      <c r="Q129" s="18">
        <f t="shared" si="118"/>
        <v>0.21640306527385164</v>
      </c>
      <c r="R129" s="18">
        <f t="shared" si="118"/>
        <v>6.5093206416398625E-2</v>
      </c>
      <c r="S129" s="18">
        <f t="shared" si="118"/>
        <v>0.16657999402921828</v>
      </c>
      <c r="T129" s="18">
        <f t="shared" si="118"/>
        <v>7.3617098310761117E-2</v>
      </c>
      <c r="U129" s="18">
        <f t="shared" si="118"/>
        <v>9.8297858315655753E-2</v>
      </c>
      <c r="V129" s="18">
        <f t="shared" si="118"/>
        <v>8.8300314343748687E-2</v>
      </c>
      <c r="W129" s="18">
        <f t="shared" si="118"/>
        <v>0.11377899406249772</v>
      </c>
      <c r="X129" s="18">
        <f t="shared" si="118"/>
        <v>0.11154038628196934</v>
      </c>
      <c r="Y129" s="18">
        <f t="shared" si="118"/>
        <v>0.2548617684120062</v>
      </c>
      <c r="Z129" s="18">
        <f t="shared" si="118"/>
        <v>6.0844239076927056E-2</v>
      </c>
      <c r="AA129" s="18">
        <f t="shared" si="118"/>
        <v>0.24619535678235885</v>
      </c>
      <c r="AB129" s="18">
        <f t="shared" si="118"/>
        <v>7.8906450802697703E-2</v>
      </c>
      <c r="AC129" s="82">
        <f t="shared" si="118"/>
        <v>0.10367562324898909</v>
      </c>
      <c r="AD129" s="18">
        <f t="shared" si="118"/>
        <v>0.23291009653274475</v>
      </c>
      <c r="AE129" s="18">
        <f t="shared" si="118"/>
        <v>0.11740086640217065</v>
      </c>
      <c r="AF129" s="18">
        <f t="shared" si="118"/>
        <v>0.14053706122735987</v>
      </c>
      <c r="AG129" s="18">
        <f t="shared" si="118"/>
        <v>7.0995015189678323E-2</v>
      </c>
      <c r="AH129" s="18">
        <f t="shared" si="118"/>
        <v>0.38032961145766631</v>
      </c>
      <c r="AI129" s="18">
        <f t="shared" si="118"/>
        <v>7.2637308315639998E-2</v>
      </c>
      <c r="AJ129" s="18">
        <f t="shared" ref="AJ129:BP129" si="119">IF(AJ10=0,0,(ABS(AJ30)/AJ10))</f>
        <v>0.21568479349725989</v>
      </c>
      <c r="AK129" s="18">
        <f t="shared" si="119"/>
        <v>0.12768474027418958</v>
      </c>
      <c r="AL129" s="18">
        <f t="shared" si="119"/>
        <v>0.20876871420892013</v>
      </c>
      <c r="AM129" s="18">
        <f t="shared" si="119"/>
        <v>9.7223275307116719E-2</v>
      </c>
      <c r="AN129" s="18">
        <f t="shared" si="119"/>
        <v>9.6364328025650786E-2</v>
      </c>
      <c r="AO129" s="18">
        <f t="shared" si="119"/>
        <v>0.10762502598535495</v>
      </c>
      <c r="AP129" s="82">
        <f t="shared" si="119"/>
        <v>0.12241635003225872</v>
      </c>
      <c r="AQ129" s="83">
        <f t="shared" si="119"/>
        <v>0</v>
      </c>
      <c r="AR129" s="18">
        <f t="shared" si="119"/>
        <v>0</v>
      </c>
      <c r="AS129" s="18">
        <f t="shared" si="119"/>
        <v>0</v>
      </c>
      <c r="AT129" s="18">
        <f t="shared" si="119"/>
        <v>0</v>
      </c>
      <c r="AU129" s="18">
        <f t="shared" si="119"/>
        <v>0</v>
      </c>
      <c r="AV129" s="18">
        <f t="shared" si="119"/>
        <v>0</v>
      </c>
      <c r="AW129" s="18">
        <f t="shared" si="119"/>
        <v>0</v>
      </c>
      <c r="AX129" s="18">
        <f t="shared" si="119"/>
        <v>0</v>
      </c>
      <c r="AY129" s="18">
        <f t="shared" si="119"/>
        <v>0</v>
      </c>
      <c r="AZ129" s="18">
        <f t="shared" si="119"/>
        <v>0</v>
      </c>
      <c r="BA129" s="18">
        <f t="shared" si="119"/>
        <v>0</v>
      </c>
      <c r="BB129" s="18">
        <f t="shared" si="119"/>
        <v>0</v>
      </c>
      <c r="BC129" s="82">
        <f t="shared" si="119"/>
        <v>0</v>
      </c>
      <c r="BD129" s="18">
        <f t="shared" si="119"/>
        <v>0</v>
      </c>
      <c r="BE129" s="18">
        <f t="shared" si="119"/>
        <v>0</v>
      </c>
      <c r="BF129" s="18">
        <f t="shared" si="119"/>
        <v>0</v>
      </c>
      <c r="BG129" s="18">
        <f t="shared" si="119"/>
        <v>0</v>
      </c>
      <c r="BH129" s="18">
        <f t="shared" si="119"/>
        <v>0</v>
      </c>
      <c r="BI129" s="18">
        <f t="shared" si="119"/>
        <v>0</v>
      </c>
      <c r="BJ129" s="18">
        <f t="shared" si="119"/>
        <v>0</v>
      </c>
      <c r="BK129" s="18">
        <f t="shared" si="119"/>
        <v>0</v>
      </c>
      <c r="BL129" s="18">
        <f t="shared" si="119"/>
        <v>0</v>
      </c>
      <c r="BM129" s="18">
        <f t="shared" si="119"/>
        <v>0</v>
      </c>
      <c r="BN129" s="18">
        <f t="shared" si="119"/>
        <v>0</v>
      </c>
      <c r="BO129" s="18">
        <f t="shared" si="119"/>
        <v>0</v>
      </c>
      <c r="BP129" s="82">
        <f t="shared" si="119"/>
        <v>0</v>
      </c>
    </row>
    <row r="130" spans="1:68" s="18" customFormat="1" x14ac:dyDescent="0.25">
      <c r="A130" s="18" t="s">
        <v>155</v>
      </c>
      <c r="B130" s="80"/>
      <c r="C130" s="81" t="s">
        <v>156</v>
      </c>
      <c r="D130" s="18">
        <f t="shared" ref="D130:AI130" si="120">IF(D10=0,0,(ABS(D41)/D10))</f>
        <v>0</v>
      </c>
      <c r="E130" s="18">
        <f t="shared" si="120"/>
        <v>3.5861424782746482E-2</v>
      </c>
      <c r="F130" s="18">
        <f t="shared" si="120"/>
        <v>1.199337220456816E-2</v>
      </c>
      <c r="G130" s="18">
        <f t="shared" si="120"/>
        <v>4.1999499593643769E-2</v>
      </c>
      <c r="H130" s="18">
        <f t="shared" si="120"/>
        <v>4.7693219075244868E-2</v>
      </c>
      <c r="I130" s="18">
        <f t="shared" si="120"/>
        <v>8.2539845604302706E-3</v>
      </c>
      <c r="J130" s="18">
        <f t="shared" si="120"/>
        <v>4.2332087088574159E-2</v>
      </c>
      <c r="K130" s="18">
        <f t="shared" si="120"/>
        <v>5.6602874234371646E-3</v>
      </c>
      <c r="L130" s="18">
        <f t="shared" si="120"/>
        <v>1.7617290280745539E-2</v>
      </c>
      <c r="M130" s="18">
        <f t="shared" si="120"/>
        <v>2.3811725686403662E-2</v>
      </c>
      <c r="N130" s="18">
        <f t="shared" si="120"/>
        <v>5.629860567507341E-3</v>
      </c>
      <c r="O130" s="18">
        <f t="shared" si="120"/>
        <v>4.217942522654331E-3</v>
      </c>
      <c r="P130" s="82">
        <f t="shared" si="120"/>
        <v>1.6747837811351904E-2</v>
      </c>
      <c r="Q130" s="18">
        <f t="shared" si="120"/>
        <v>8.2393588457602571E-2</v>
      </c>
      <c r="R130" s="18">
        <f t="shared" si="120"/>
        <v>3.0352611304459635E-3</v>
      </c>
      <c r="S130" s="18">
        <f t="shared" si="120"/>
        <v>9.7506717129402232E-3</v>
      </c>
      <c r="T130" s="18">
        <f t="shared" si="120"/>
        <v>2.2369686478168883E-2</v>
      </c>
      <c r="U130" s="18">
        <f t="shared" si="120"/>
        <v>8.3957292153549311E-3</v>
      </c>
      <c r="V130" s="18">
        <f t="shared" si="120"/>
        <v>9.8221380391973964E-3</v>
      </c>
      <c r="W130" s="18">
        <f t="shared" si="120"/>
        <v>2.5645329154917008E-2</v>
      </c>
      <c r="X130" s="18">
        <f t="shared" si="120"/>
        <v>6.5684438001895815E-3</v>
      </c>
      <c r="Y130" s="18">
        <f t="shared" si="120"/>
        <v>2.2856650659171987E-2</v>
      </c>
      <c r="Z130" s="18">
        <f t="shared" si="120"/>
        <v>1.8159516986877865E-2</v>
      </c>
      <c r="AA130" s="18">
        <f t="shared" si="120"/>
        <v>2.0883803090302043E-2</v>
      </c>
      <c r="AB130" s="18">
        <f t="shared" si="120"/>
        <v>5.0493352631566946E-3</v>
      </c>
      <c r="AC130" s="82">
        <f t="shared" si="120"/>
        <v>1.5538145629529383E-2</v>
      </c>
      <c r="AD130" s="18">
        <f t="shared" si="120"/>
        <v>9.2441565886443339E-2</v>
      </c>
      <c r="AE130" s="18">
        <f t="shared" si="120"/>
        <v>1.2517077856798467E-2</v>
      </c>
      <c r="AF130" s="18">
        <f t="shared" si="120"/>
        <v>9.2943126898226633E-3</v>
      </c>
      <c r="AG130" s="18">
        <f t="shared" si="120"/>
        <v>1.3921167800315557E-2</v>
      </c>
      <c r="AH130" s="18">
        <f t="shared" si="120"/>
        <v>2.3842338350020285E-2</v>
      </c>
      <c r="AI130" s="18">
        <f t="shared" si="120"/>
        <v>2.859528066665131E-3</v>
      </c>
      <c r="AJ130" s="18">
        <f t="shared" ref="AJ130:BP130" si="121">IF(AJ10=0,0,(ABS(AJ41)/AJ10))</f>
        <v>4.906962567587466E-2</v>
      </c>
      <c r="AK130" s="18">
        <f t="shared" si="121"/>
        <v>5.5056301950782418E-3</v>
      </c>
      <c r="AL130" s="18">
        <f t="shared" si="121"/>
        <v>1.5905022546134125E-2</v>
      </c>
      <c r="AM130" s="18">
        <f t="shared" si="121"/>
        <v>2.4499834232048368E-2</v>
      </c>
      <c r="AN130" s="18">
        <f t="shared" si="121"/>
        <v>7.2760538376537504E-3</v>
      </c>
      <c r="AO130" s="18">
        <f t="shared" si="121"/>
        <v>2.039971790104388E-3</v>
      </c>
      <c r="AP130" s="82">
        <f t="shared" si="121"/>
        <v>1.5689926239906758E-2</v>
      </c>
      <c r="AQ130" s="83">
        <f t="shared" si="121"/>
        <v>0</v>
      </c>
      <c r="AR130" s="18">
        <f t="shared" si="121"/>
        <v>0</v>
      </c>
      <c r="AS130" s="18">
        <f t="shared" si="121"/>
        <v>0</v>
      </c>
      <c r="AT130" s="18">
        <f t="shared" si="121"/>
        <v>0</v>
      </c>
      <c r="AU130" s="18">
        <f t="shared" si="121"/>
        <v>0</v>
      </c>
      <c r="AV130" s="18">
        <f t="shared" si="121"/>
        <v>0</v>
      </c>
      <c r="AW130" s="18">
        <f t="shared" si="121"/>
        <v>0</v>
      </c>
      <c r="AX130" s="18">
        <f t="shared" si="121"/>
        <v>0</v>
      </c>
      <c r="AY130" s="18">
        <f t="shared" si="121"/>
        <v>0</v>
      </c>
      <c r="AZ130" s="18">
        <f t="shared" si="121"/>
        <v>0</v>
      </c>
      <c r="BA130" s="18">
        <f t="shared" si="121"/>
        <v>0</v>
      </c>
      <c r="BB130" s="18">
        <f t="shared" si="121"/>
        <v>0</v>
      </c>
      <c r="BC130" s="82">
        <f t="shared" si="121"/>
        <v>0</v>
      </c>
      <c r="BD130" s="18">
        <f t="shared" si="121"/>
        <v>0</v>
      </c>
      <c r="BE130" s="18">
        <f t="shared" si="121"/>
        <v>0</v>
      </c>
      <c r="BF130" s="18">
        <f t="shared" si="121"/>
        <v>0</v>
      </c>
      <c r="BG130" s="18">
        <f t="shared" si="121"/>
        <v>0</v>
      </c>
      <c r="BH130" s="18">
        <f t="shared" si="121"/>
        <v>0</v>
      </c>
      <c r="BI130" s="18">
        <f t="shared" si="121"/>
        <v>0</v>
      </c>
      <c r="BJ130" s="18">
        <f t="shared" si="121"/>
        <v>0</v>
      </c>
      <c r="BK130" s="18">
        <f t="shared" si="121"/>
        <v>0</v>
      </c>
      <c r="BL130" s="18">
        <f t="shared" si="121"/>
        <v>0</v>
      </c>
      <c r="BM130" s="18">
        <f t="shared" si="121"/>
        <v>0</v>
      </c>
      <c r="BN130" s="18">
        <f t="shared" si="121"/>
        <v>0</v>
      </c>
      <c r="BO130" s="18">
        <f t="shared" si="121"/>
        <v>0</v>
      </c>
      <c r="BP130" s="82">
        <f t="shared" si="121"/>
        <v>0</v>
      </c>
    </row>
    <row r="131" spans="1:68" s="18" customFormat="1" x14ac:dyDescent="0.25">
      <c r="A131" s="18" t="s">
        <v>157</v>
      </c>
      <c r="B131" s="80"/>
      <c r="C131" s="81" t="s">
        <v>158</v>
      </c>
      <c r="D131" s="18">
        <f t="shared" ref="D131:AI131" si="122">IF(D10=0,0,(ABS(D23)/D10))</f>
        <v>0</v>
      </c>
      <c r="E131" s="18">
        <f t="shared" si="122"/>
        <v>0.5494548062649075</v>
      </c>
      <c r="F131" s="18">
        <f t="shared" si="122"/>
        <v>0.15697410845288712</v>
      </c>
      <c r="G131" s="18">
        <f t="shared" si="122"/>
        <v>0.20451053391208496</v>
      </c>
      <c r="H131" s="18">
        <f t="shared" si="122"/>
        <v>0.18019033027941481</v>
      </c>
      <c r="I131" s="18">
        <f t="shared" si="122"/>
        <v>0.22726833475658173</v>
      </c>
      <c r="J131" s="18">
        <f t="shared" si="122"/>
        <v>0.1872277739262487</v>
      </c>
      <c r="K131" s="18">
        <f t="shared" si="122"/>
        <v>0.2378675850234753</v>
      </c>
      <c r="L131" s="18">
        <f t="shared" si="122"/>
        <v>9.161637336302679E-2</v>
      </c>
      <c r="M131" s="18">
        <f t="shared" si="122"/>
        <v>0.2127875773881085</v>
      </c>
      <c r="N131" s="18">
        <f t="shared" si="122"/>
        <v>0.27702119229927152</v>
      </c>
      <c r="O131" s="18">
        <f t="shared" si="122"/>
        <v>0.20870476630688414</v>
      </c>
      <c r="P131" s="82">
        <f t="shared" si="122"/>
        <v>0.22339167635259377</v>
      </c>
      <c r="Q131" s="18">
        <f t="shared" si="122"/>
        <v>0.18458162524359067</v>
      </c>
      <c r="R131" s="18">
        <f t="shared" si="122"/>
        <v>0.20847477793599373</v>
      </c>
      <c r="S131" s="18">
        <f t="shared" si="122"/>
        <v>0.11592097863037971</v>
      </c>
      <c r="T131" s="18">
        <f t="shared" si="122"/>
        <v>0.21131186992973763</v>
      </c>
      <c r="U131" s="18">
        <f t="shared" si="122"/>
        <v>0.24283976617648823</v>
      </c>
      <c r="V131" s="18">
        <f t="shared" si="122"/>
        <v>6.8220403124570506E-2</v>
      </c>
      <c r="W131" s="18">
        <f t="shared" si="122"/>
        <v>0.15244650802863224</v>
      </c>
      <c r="X131" s="18">
        <f t="shared" si="122"/>
        <v>0.26602308890101312</v>
      </c>
      <c r="Y131" s="18">
        <f t="shared" si="122"/>
        <v>9.0401449384766366E-2</v>
      </c>
      <c r="Z131" s="18">
        <f t="shared" si="122"/>
        <v>0.18000884443175583</v>
      </c>
      <c r="AA131" s="18">
        <f t="shared" si="122"/>
        <v>0.17381597950151406</v>
      </c>
      <c r="AB131" s="18">
        <f t="shared" si="122"/>
        <v>0.19987278411550793</v>
      </c>
      <c r="AC131" s="82">
        <f t="shared" si="122"/>
        <v>0.18288865556134737</v>
      </c>
      <c r="AD131" s="18">
        <f t="shared" si="122"/>
        <v>0.7721097081918491</v>
      </c>
      <c r="AE131" s="18">
        <f t="shared" si="122"/>
        <v>2.1251702317119963E-2</v>
      </c>
      <c r="AF131" s="18">
        <f t="shared" si="122"/>
        <v>0.16083868961171374</v>
      </c>
      <c r="AG131" s="18">
        <f t="shared" si="122"/>
        <v>0.20549107276849635</v>
      </c>
      <c r="AH131" s="18">
        <f t="shared" si="122"/>
        <v>0.72620683338068726</v>
      </c>
      <c r="AI131" s="18">
        <f t="shared" si="122"/>
        <v>6.6157000270331306E-2</v>
      </c>
      <c r="AJ131" s="18">
        <f t="shared" ref="AJ131:BP131" si="123">IF(AJ10=0,0,(ABS(AJ23)/AJ10))</f>
        <v>0.16850733152820341</v>
      </c>
      <c r="AK131" s="18">
        <f t="shared" si="123"/>
        <v>0.22295335217176465</v>
      </c>
      <c r="AL131" s="18">
        <f t="shared" si="123"/>
        <v>0.16857443741717726</v>
      </c>
      <c r="AM131" s="18">
        <f t="shared" si="123"/>
        <v>0.23770096650892691</v>
      </c>
      <c r="AN131" s="18">
        <f t="shared" si="123"/>
        <v>0.12071812039200769</v>
      </c>
      <c r="AO131" s="18">
        <f t="shared" si="123"/>
        <v>0.55631361943451973</v>
      </c>
      <c r="AP131" s="82">
        <f t="shared" si="123"/>
        <v>0.23023595219467888</v>
      </c>
      <c r="AQ131" s="83">
        <f t="shared" si="123"/>
        <v>0</v>
      </c>
      <c r="AR131" s="18">
        <f t="shared" si="123"/>
        <v>0</v>
      </c>
      <c r="AS131" s="18">
        <f t="shared" si="123"/>
        <v>0</v>
      </c>
      <c r="AT131" s="18">
        <f t="shared" si="123"/>
        <v>0</v>
      </c>
      <c r="AU131" s="18">
        <f t="shared" si="123"/>
        <v>0</v>
      </c>
      <c r="AV131" s="18">
        <f t="shared" si="123"/>
        <v>0</v>
      </c>
      <c r="AW131" s="18">
        <f t="shared" si="123"/>
        <v>0</v>
      </c>
      <c r="AX131" s="18">
        <f t="shared" si="123"/>
        <v>0</v>
      </c>
      <c r="AY131" s="18">
        <f t="shared" si="123"/>
        <v>0</v>
      </c>
      <c r="AZ131" s="18">
        <f t="shared" si="123"/>
        <v>0</v>
      </c>
      <c r="BA131" s="18">
        <f t="shared" si="123"/>
        <v>0</v>
      </c>
      <c r="BB131" s="18">
        <f t="shared" si="123"/>
        <v>0</v>
      </c>
      <c r="BC131" s="82">
        <f t="shared" si="123"/>
        <v>0</v>
      </c>
      <c r="BD131" s="18">
        <f t="shared" si="123"/>
        <v>0</v>
      </c>
      <c r="BE131" s="18">
        <f t="shared" si="123"/>
        <v>0</v>
      </c>
      <c r="BF131" s="18">
        <f t="shared" si="123"/>
        <v>0</v>
      </c>
      <c r="BG131" s="18">
        <f t="shared" si="123"/>
        <v>0</v>
      </c>
      <c r="BH131" s="18">
        <f t="shared" si="123"/>
        <v>0</v>
      </c>
      <c r="BI131" s="18">
        <f t="shared" si="123"/>
        <v>0</v>
      </c>
      <c r="BJ131" s="18">
        <f t="shared" si="123"/>
        <v>0</v>
      </c>
      <c r="BK131" s="18">
        <f t="shared" si="123"/>
        <v>0</v>
      </c>
      <c r="BL131" s="18">
        <f t="shared" si="123"/>
        <v>0</v>
      </c>
      <c r="BM131" s="18">
        <f t="shared" si="123"/>
        <v>0</v>
      </c>
      <c r="BN131" s="18">
        <f t="shared" si="123"/>
        <v>0</v>
      </c>
      <c r="BO131" s="18">
        <f t="shared" si="123"/>
        <v>0</v>
      </c>
      <c r="BP131" s="82">
        <f t="shared" si="123"/>
        <v>0</v>
      </c>
    </row>
    <row r="132" spans="1:68" s="18" customFormat="1" x14ac:dyDescent="0.25">
      <c r="A132" s="18" t="s">
        <v>159</v>
      </c>
      <c r="B132" s="80"/>
      <c r="C132" s="81" t="s">
        <v>160</v>
      </c>
      <c r="D132" s="18">
        <f t="shared" ref="D132:AI132" si="124">IF(D10=0,0,(ABS(D72)/D10))</f>
        <v>0</v>
      </c>
      <c r="E132" s="18">
        <f t="shared" si="124"/>
        <v>0</v>
      </c>
      <c r="F132" s="18">
        <f t="shared" si="124"/>
        <v>0</v>
      </c>
      <c r="G132" s="18">
        <f t="shared" si="124"/>
        <v>0</v>
      </c>
      <c r="H132" s="18">
        <f t="shared" si="124"/>
        <v>0</v>
      </c>
      <c r="I132" s="18">
        <f t="shared" si="124"/>
        <v>0</v>
      </c>
      <c r="J132" s="18">
        <f t="shared" si="124"/>
        <v>0</v>
      </c>
      <c r="K132" s="18">
        <f t="shared" si="124"/>
        <v>0</v>
      </c>
      <c r="L132" s="18">
        <f t="shared" si="124"/>
        <v>0</v>
      </c>
      <c r="M132" s="18">
        <f t="shared" si="124"/>
        <v>0</v>
      </c>
      <c r="N132" s="18">
        <f t="shared" si="124"/>
        <v>0</v>
      </c>
      <c r="O132" s="18">
        <f t="shared" si="124"/>
        <v>0</v>
      </c>
      <c r="P132" s="82">
        <f t="shared" si="124"/>
        <v>0</v>
      </c>
      <c r="Q132" s="18">
        <f t="shared" si="124"/>
        <v>0</v>
      </c>
      <c r="R132" s="18">
        <f t="shared" si="124"/>
        <v>0</v>
      </c>
      <c r="S132" s="18">
        <f t="shared" si="124"/>
        <v>0</v>
      </c>
      <c r="T132" s="18">
        <f t="shared" si="124"/>
        <v>0</v>
      </c>
      <c r="U132" s="18">
        <f t="shared" si="124"/>
        <v>0</v>
      </c>
      <c r="V132" s="18">
        <f t="shared" si="124"/>
        <v>0</v>
      </c>
      <c r="W132" s="18">
        <f t="shared" si="124"/>
        <v>0</v>
      </c>
      <c r="X132" s="18">
        <f t="shared" si="124"/>
        <v>0</v>
      </c>
      <c r="Y132" s="18">
        <f t="shared" si="124"/>
        <v>0</v>
      </c>
      <c r="Z132" s="18">
        <f t="shared" si="124"/>
        <v>0</v>
      </c>
      <c r="AA132" s="18">
        <f t="shared" si="124"/>
        <v>0</v>
      </c>
      <c r="AB132" s="18">
        <f t="shared" si="124"/>
        <v>0</v>
      </c>
      <c r="AC132" s="82">
        <f t="shared" si="124"/>
        <v>0</v>
      </c>
      <c r="AD132" s="18">
        <f t="shared" si="124"/>
        <v>0</v>
      </c>
      <c r="AE132" s="18">
        <f t="shared" si="124"/>
        <v>0</v>
      </c>
      <c r="AF132" s="18">
        <f t="shared" si="124"/>
        <v>0</v>
      </c>
      <c r="AG132" s="18">
        <f t="shared" si="124"/>
        <v>0</v>
      </c>
      <c r="AH132" s="18">
        <f t="shared" si="124"/>
        <v>0</v>
      </c>
      <c r="AI132" s="18">
        <f t="shared" si="124"/>
        <v>0</v>
      </c>
      <c r="AJ132" s="18">
        <f t="shared" ref="AJ132:BP132" si="125">IF(AJ10=0,0,(ABS(AJ72)/AJ10))</f>
        <v>0</v>
      </c>
      <c r="AK132" s="18">
        <f t="shared" si="125"/>
        <v>0</v>
      </c>
      <c r="AL132" s="18">
        <f t="shared" si="125"/>
        <v>0</v>
      </c>
      <c r="AM132" s="18">
        <f t="shared" si="125"/>
        <v>0</v>
      </c>
      <c r="AN132" s="18">
        <f t="shared" si="125"/>
        <v>0</v>
      </c>
      <c r="AO132" s="18">
        <f t="shared" si="125"/>
        <v>0</v>
      </c>
      <c r="AP132" s="82">
        <f t="shared" si="125"/>
        <v>0</v>
      </c>
      <c r="AQ132" s="83">
        <f t="shared" si="125"/>
        <v>0</v>
      </c>
      <c r="AR132" s="18">
        <f t="shared" si="125"/>
        <v>0</v>
      </c>
      <c r="AS132" s="18">
        <f t="shared" si="125"/>
        <v>0</v>
      </c>
      <c r="AT132" s="18">
        <f t="shared" si="125"/>
        <v>0</v>
      </c>
      <c r="AU132" s="18">
        <f t="shared" si="125"/>
        <v>0</v>
      </c>
      <c r="AV132" s="18">
        <f t="shared" si="125"/>
        <v>0</v>
      </c>
      <c r="AW132" s="18">
        <f t="shared" si="125"/>
        <v>0</v>
      </c>
      <c r="AX132" s="18">
        <f t="shared" si="125"/>
        <v>0</v>
      </c>
      <c r="AY132" s="18">
        <f t="shared" si="125"/>
        <v>0</v>
      </c>
      <c r="AZ132" s="18">
        <f t="shared" si="125"/>
        <v>0</v>
      </c>
      <c r="BA132" s="18">
        <f t="shared" si="125"/>
        <v>0</v>
      </c>
      <c r="BB132" s="18">
        <f t="shared" si="125"/>
        <v>0</v>
      </c>
      <c r="BC132" s="82">
        <f t="shared" si="125"/>
        <v>0</v>
      </c>
      <c r="BD132" s="18">
        <f t="shared" si="125"/>
        <v>0</v>
      </c>
      <c r="BE132" s="18">
        <f t="shared" si="125"/>
        <v>0</v>
      </c>
      <c r="BF132" s="18">
        <f t="shared" si="125"/>
        <v>0</v>
      </c>
      <c r="BG132" s="18">
        <f t="shared" si="125"/>
        <v>0</v>
      </c>
      <c r="BH132" s="18">
        <f t="shared" si="125"/>
        <v>0</v>
      </c>
      <c r="BI132" s="18">
        <f t="shared" si="125"/>
        <v>0</v>
      </c>
      <c r="BJ132" s="18">
        <f t="shared" si="125"/>
        <v>0</v>
      </c>
      <c r="BK132" s="18">
        <f t="shared" si="125"/>
        <v>0</v>
      </c>
      <c r="BL132" s="18">
        <f t="shared" si="125"/>
        <v>0</v>
      </c>
      <c r="BM132" s="18">
        <f t="shared" si="125"/>
        <v>0</v>
      </c>
      <c r="BN132" s="18">
        <f t="shared" si="125"/>
        <v>0</v>
      </c>
      <c r="BO132" s="18">
        <f t="shared" si="125"/>
        <v>0</v>
      </c>
      <c r="BP132" s="82">
        <f t="shared" si="125"/>
        <v>0</v>
      </c>
    </row>
    <row r="133" spans="1:68" s="18" customFormat="1" x14ac:dyDescent="0.25">
      <c r="A133" s="18" t="s">
        <v>161</v>
      </c>
      <c r="B133" s="80"/>
      <c r="C133" s="81" t="s">
        <v>162</v>
      </c>
      <c r="D133" s="18">
        <f t="shared" ref="D133:AI133" si="126">IF(D41=0,0,(D109/ABS(D41)))</f>
        <v>0</v>
      </c>
      <c r="E133" s="18">
        <f t="shared" si="126"/>
        <v>12.943350077519382</v>
      </c>
      <c r="F133" s="18">
        <f t="shared" si="126"/>
        <v>70.765828464515039</v>
      </c>
      <c r="G133" s="18">
        <f t="shared" si="126"/>
        <v>18.996142463104615</v>
      </c>
      <c r="H133" s="18">
        <f t="shared" si="126"/>
        <v>17.290346289752652</v>
      </c>
      <c r="I133" s="18">
        <f t="shared" si="126"/>
        <v>94.029797230721371</v>
      </c>
      <c r="J133" s="18">
        <f t="shared" si="126"/>
        <v>19.297391660370923</v>
      </c>
      <c r="K133" s="18">
        <f t="shared" si="126"/>
        <v>135.43500631578948</v>
      </c>
      <c r="L133" s="18">
        <f t="shared" si="126"/>
        <v>51.818827830286871</v>
      </c>
      <c r="M133" s="18">
        <f t="shared" si="126"/>
        <v>33.155637199471599</v>
      </c>
      <c r="N133" s="18">
        <f t="shared" si="126"/>
        <v>128.94580169141639</v>
      </c>
      <c r="O133" s="18">
        <f t="shared" si="126"/>
        <v>188.38837373584903</v>
      </c>
      <c r="P133" s="82">
        <f t="shared" si="126"/>
        <v>48.011361310798826</v>
      </c>
      <c r="Q133" s="18">
        <f t="shared" si="126"/>
        <v>9.9914142482374153</v>
      </c>
      <c r="R133" s="18">
        <f t="shared" si="126"/>
        <v>261.01940346456695</v>
      </c>
      <c r="S133" s="18">
        <f t="shared" si="126"/>
        <v>91.42982123456791</v>
      </c>
      <c r="T133" s="18">
        <f t="shared" si="126"/>
        <v>35.333922411612967</v>
      </c>
      <c r="U133" s="18">
        <f t="shared" si="126"/>
        <v>90.407020029441924</v>
      </c>
      <c r="V133" s="18">
        <f t="shared" si="126"/>
        <v>95.102050215827333</v>
      </c>
      <c r="W133" s="18">
        <f t="shared" si="126"/>
        <v>33.228056819317239</v>
      </c>
      <c r="X133" s="18">
        <f t="shared" si="126"/>
        <v>112.34183025</v>
      </c>
      <c r="Y133" s="18">
        <f t="shared" si="126"/>
        <v>40.145118177583946</v>
      </c>
      <c r="Z133" s="18">
        <f t="shared" si="126"/>
        <v>45.229300881176968</v>
      </c>
      <c r="AA133" s="18">
        <f t="shared" si="126"/>
        <v>39.882461309662126</v>
      </c>
      <c r="AB133" s="18">
        <f t="shared" si="126"/>
        <v>158.67692361290321</v>
      </c>
      <c r="AC133" s="82">
        <f t="shared" si="126"/>
        <v>52.772465956504711</v>
      </c>
      <c r="AD133" s="18">
        <f t="shared" si="126"/>
        <v>2.5043951656569576</v>
      </c>
      <c r="AE133" s="18">
        <f t="shared" si="126"/>
        <v>78.560129318818966</v>
      </c>
      <c r="AF133" s="18">
        <f t="shared" si="126"/>
        <v>90.976259093289897</v>
      </c>
      <c r="AG133" s="18">
        <f t="shared" si="126"/>
        <v>57.246505644985064</v>
      </c>
      <c r="AH133" s="18">
        <f t="shared" si="126"/>
        <v>11.804645995138436</v>
      </c>
      <c r="AI133" s="18">
        <f t="shared" si="126"/>
        <v>327.24371592592593</v>
      </c>
      <c r="AJ133" s="18">
        <f t="shared" ref="AJ133:BP133" si="127">IF(AJ41=0,0,(AJ109/ABS(AJ41)))</f>
        <v>16.994401455314385</v>
      </c>
      <c r="AK133" s="18">
        <f t="shared" si="127"/>
        <v>142.06031433333331</v>
      </c>
      <c r="AL133" s="18">
        <f t="shared" si="127"/>
        <v>52.735124423076918</v>
      </c>
      <c r="AM133" s="18">
        <f t="shared" si="127"/>
        <v>31.233288044055406</v>
      </c>
      <c r="AN133" s="18">
        <f t="shared" si="127"/>
        <v>121.22774884230445</v>
      </c>
      <c r="AO133" s="18">
        <f t="shared" si="127"/>
        <v>218.67099809523813</v>
      </c>
      <c r="AP133" s="82">
        <f t="shared" si="127"/>
        <v>49.287162672135665</v>
      </c>
      <c r="AQ133" s="83">
        <f t="shared" si="127"/>
        <v>0</v>
      </c>
      <c r="AR133" s="18">
        <f t="shared" si="127"/>
        <v>0</v>
      </c>
      <c r="AS133" s="18">
        <f t="shared" si="127"/>
        <v>0</v>
      </c>
      <c r="AT133" s="18">
        <f t="shared" si="127"/>
        <v>0</v>
      </c>
      <c r="AU133" s="18">
        <f t="shared" si="127"/>
        <v>0</v>
      </c>
      <c r="AV133" s="18">
        <f t="shared" si="127"/>
        <v>0</v>
      </c>
      <c r="AW133" s="18">
        <f t="shared" si="127"/>
        <v>0</v>
      </c>
      <c r="AX133" s="18">
        <f t="shared" si="127"/>
        <v>0</v>
      </c>
      <c r="AY133" s="18">
        <f t="shared" si="127"/>
        <v>0</v>
      </c>
      <c r="AZ133" s="18">
        <f t="shared" si="127"/>
        <v>0</v>
      </c>
      <c r="BA133" s="18">
        <f t="shared" si="127"/>
        <v>0</v>
      </c>
      <c r="BB133" s="18">
        <f t="shared" si="127"/>
        <v>0</v>
      </c>
      <c r="BC133" s="82">
        <f t="shared" si="127"/>
        <v>0</v>
      </c>
      <c r="BD133" s="18">
        <f t="shared" si="127"/>
        <v>0</v>
      </c>
      <c r="BE133" s="18">
        <f t="shared" si="127"/>
        <v>0</v>
      </c>
      <c r="BF133" s="18">
        <f t="shared" si="127"/>
        <v>0</v>
      </c>
      <c r="BG133" s="18">
        <f t="shared" si="127"/>
        <v>0</v>
      </c>
      <c r="BH133" s="18">
        <f t="shared" si="127"/>
        <v>0</v>
      </c>
      <c r="BI133" s="18">
        <f t="shared" si="127"/>
        <v>0</v>
      </c>
      <c r="BJ133" s="18">
        <f t="shared" si="127"/>
        <v>0</v>
      </c>
      <c r="BK133" s="18">
        <f t="shared" si="127"/>
        <v>0</v>
      </c>
      <c r="BL133" s="18">
        <f t="shared" si="127"/>
        <v>0</v>
      </c>
      <c r="BM133" s="18">
        <f t="shared" si="127"/>
        <v>0</v>
      </c>
      <c r="BN133" s="18">
        <f t="shared" si="127"/>
        <v>0</v>
      </c>
      <c r="BO133" s="18">
        <f t="shared" si="127"/>
        <v>0</v>
      </c>
      <c r="BP133" s="82">
        <f t="shared" si="127"/>
        <v>0</v>
      </c>
    </row>
    <row r="134" spans="1:68" s="18" customFormat="1" x14ac:dyDescent="0.25">
      <c r="A134" s="18" t="s">
        <v>163</v>
      </c>
      <c r="B134" s="80"/>
      <c r="C134" s="81" t="s">
        <v>164</v>
      </c>
      <c r="D134" s="18">
        <f t="shared" ref="D134:AI134" si="128">IF(D30=0,0,(D10/ABS(D30)))</f>
        <v>0</v>
      </c>
      <c r="E134" s="18">
        <f t="shared" si="128"/>
        <v>3.529969382948658</v>
      </c>
      <c r="F134" s="18">
        <f t="shared" si="128"/>
        <v>7.8183133971291872</v>
      </c>
      <c r="G134" s="18">
        <f t="shared" si="128"/>
        <v>6.790361690049469</v>
      </c>
      <c r="H134" s="18">
        <f t="shared" si="128"/>
        <v>2.3862295881062634</v>
      </c>
      <c r="I134" s="18">
        <f t="shared" si="128"/>
        <v>8.6615935043749079</v>
      </c>
      <c r="J134" s="18">
        <f t="shared" si="128"/>
        <v>3.6503426978986218</v>
      </c>
      <c r="K134" s="18">
        <f t="shared" si="128"/>
        <v>9.7639621470679501</v>
      </c>
      <c r="L134" s="18">
        <f t="shared" si="128"/>
        <v>4.844917904612978</v>
      </c>
      <c r="M134" s="18">
        <f t="shared" si="128"/>
        <v>11.459541489438397</v>
      </c>
      <c r="N134" s="18">
        <f t="shared" si="128"/>
        <v>10.028513422061808</v>
      </c>
      <c r="O134" s="18">
        <f t="shared" si="128"/>
        <v>12.009106200779875</v>
      </c>
      <c r="P134" s="82">
        <f t="shared" si="128"/>
        <v>7.4001713102278801</v>
      </c>
      <c r="Q134" s="18">
        <f t="shared" si="128"/>
        <v>4.6210066328521258</v>
      </c>
      <c r="R134" s="18">
        <f t="shared" si="128"/>
        <v>15.362586282860921</v>
      </c>
      <c r="S134" s="18">
        <f t="shared" si="128"/>
        <v>6.0031218384159573</v>
      </c>
      <c r="T134" s="18">
        <f t="shared" si="128"/>
        <v>13.583800814570045</v>
      </c>
      <c r="U134" s="18">
        <f t="shared" si="128"/>
        <v>10.173161624628515</v>
      </c>
      <c r="V134" s="18">
        <f t="shared" si="128"/>
        <v>11.324987996158772</v>
      </c>
      <c r="W134" s="18">
        <f t="shared" si="128"/>
        <v>8.7889685459049627</v>
      </c>
      <c r="X134" s="18">
        <f t="shared" si="128"/>
        <v>8.9653625322046366</v>
      </c>
      <c r="Y134" s="18">
        <f t="shared" si="128"/>
        <v>3.923695602642971</v>
      </c>
      <c r="Z134" s="18">
        <f t="shared" si="128"/>
        <v>16.435409747431837</v>
      </c>
      <c r="AA134" s="18">
        <f t="shared" si="128"/>
        <v>4.0618150279902236</v>
      </c>
      <c r="AB134" s="18">
        <f t="shared" si="128"/>
        <v>12.673235075551153</v>
      </c>
      <c r="AC134" s="82">
        <f t="shared" si="128"/>
        <v>9.6454689025440778</v>
      </c>
      <c r="AD134" s="18">
        <f t="shared" si="128"/>
        <v>4.293502149055227</v>
      </c>
      <c r="AE134" s="18">
        <f t="shared" si="128"/>
        <v>8.517824703051005</v>
      </c>
      <c r="AF134" s="18">
        <f t="shared" si="128"/>
        <v>7.1155607728427386</v>
      </c>
      <c r="AG134" s="18">
        <f t="shared" si="128"/>
        <v>14.085495965150324</v>
      </c>
      <c r="AH134" s="18">
        <f t="shared" si="128"/>
        <v>2.6292982977774475</v>
      </c>
      <c r="AI134" s="18">
        <f t="shared" si="128"/>
        <v>13.767029962819858</v>
      </c>
      <c r="AJ134" s="18">
        <f t="shared" ref="AJ134:BP134" si="129">IF(AJ30=0,0,(AJ10/ABS(AJ30)))</f>
        <v>4.6363954722320484</v>
      </c>
      <c r="AK134" s="18">
        <f t="shared" si="129"/>
        <v>7.831789435860582</v>
      </c>
      <c r="AL134" s="18">
        <f t="shared" si="129"/>
        <v>4.7899897443410735</v>
      </c>
      <c r="AM134" s="18">
        <f t="shared" si="129"/>
        <v>10.285602874837526</v>
      </c>
      <c r="AN134" s="18">
        <f t="shared" si="129"/>
        <v>10.377284006316264</v>
      </c>
      <c r="AO134" s="18">
        <f t="shared" si="129"/>
        <v>9.2915192432666611</v>
      </c>
      <c r="AP134" s="82">
        <f t="shared" si="129"/>
        <v>8.1688434570748392</v>
      </c>
      <c r="AQ134" s="83">
        <f t="shared" si="129"/>
        <v>0</v>
      </c>
      <c r="AR134" s="18">
        <f t="shared" si="129"/>
        <v>0</v>
      </c>
      <c r="AS134" s="18">
        <f t="shared" si="129"/>
        <v>0</v>
      </c>
      <c r="AT134" s="18">
        <f t="shared" si="129"/>
        <v>0</v>
      </c>
      <c r="AU134" s="18">
        <f t="shared" si="129"/>
        <v>0</v>
      </c>
      <c r="AV134" s="18">
        <f t="shared" si="129"/>
        <v>0</v>
      </c>
      <c r="AW134" s="18">
        <f t="shared" si="129"/>
        <v>0</v>
      </c>
      <c r="AX134" s="18">
        <f t="shared" si="129"/>
        <v>0</v>
      </c>
      <c r="AY134" s="18">
        <f t="shared" si="129"/>
        <v>0</v>
      </c>
      <c r="AZ134" s="18">
        <f t="shared" si="129"/>
        <v>0</v>
      </c>
      <c r="BA134" s="18">
        <f t="shared" si="129"/>
        <v>0</v>
      </c>
      <c r="BB134" s="18">
        <f t="shared" si="129"/>
        <v>0</v>
      </c>
      <c r="BC134" s="82">
        <f t="shared" si="129"/>
        <v>0</v>
      </c>
      <c r="BD134" s="18">
        <f t="shared" si="129"/>
        <v>0</v>
      </c>
      <c r="BE134" s="18">
        <f t="shared" si="129"/>
        <v>0</v>
      </c>
      <c r="BF134" s="18">
        <f t="shared" si="129"/>
        <v>0</v>
      </c>
      <c r="BG134" s="18">
        <f t="shared" si="129"/>
        <v>0</v>
      </c>
      <c r="BH134" s="18">
        <f t="shared" si="129"/>
        <v>0</v>
      </c>
      <c r="BI134" s="18">
        <f t="shared" si="129"/>
        <v>0</v>
      </c>
      <c r="BJ134" s="18">
        <f t="shared" si="129"/>
        <v>0</v>
      </c>
      <c r="BK134" s="18">
        <f t="shared" si="129"/>
        <v>0</v>
      </c>
      <c r="BL134" s="18">
        <f t="shared" si="129"/>
        <v>0</v>
      </c>
      <c r="BM134" s="18">
        <f t="shared" si="129"/>
        <v>0</v>
      </c>
      <c r="BN134" s="18">
        <f t="shared" si="129"/>
        <v>0</v>
      </c>
      <c r="BO134" s="18">
        <f t="shared" si="129"/>
        <v>0</v>
      </c>
      <c r="BP134" s="82">
        <f t="shared" si="129"/>
        <v>0</v>
      </c>
    </row>
    <row r="135" spans="1:68" s="17" customFormat="1" x14ac:dyDescent="0.25">
      <c r="A135" s="17" t="s">
        <v>165</v>
      </c>
      <c r="B135" s="76"/>
      <c r="C135" s="77" t="s">
        <v>166</v>
      </c>
      <c r="D135" s="17">
        <f t="shared" ref="D135:AI135" si="130">IF(D104=0,0,(D104-D106-D107-D41)/D104)</f>
        <v>0</v>
      </c>
      <c r="E135" s="17">
        <f t="shared" si="130"/>
        <v>1.8686048070988939</v>
      </c>
      <c r="F135" s="17">
        <f t="shared" si="130"/>
        <v>1.2968723047806723</v>
      </c>
      <c r="G135" s="17">
        <f t="shared" si="130"/>
        <v>1.3937775938575421</v>
      </c>
      <c r="H135" s="17">
        <f t="shared" si="130"/>
        <v>1.6469547087201801</v>
      </c>
      <c r="I135" s="17">
        <f t="shared" si="130"/>
        <v>1.3509745163630762</v>
      </c>
      <c r="J135" s="17">
        <f t="shared" si="130"/>
        <v>1.503506742926942</v>
      </c>
      <c r="K135" s="17">
        <f t="shared" si="130"/>
        <v>1.3459453116931608</v>
      </c>
      <c r="L135" s="17">
        <f t="shared" si="130"/>
        <v>1.3156355098025838</v>
      </c>
      <c r="M135" s="17">
        <f t="shared" si="130"/>
        <v>1.3238628293614618</v>
      </c>
      <c r="N135" s="17">
        <f t="shared" si="130"/>
        <v>1.382366729349805</v>
      </c>
      <c r="O135" s="17">
        <f t="shared" si="130"/>
        <v>1.2961928526088533</v>
      </c>
      <c r="P135" s="78">
        <f t="shared" si="130"/>
        <v>1.3752715209889617</v>
      </c>
      <c r="Q135" s="17">
        <f t="shared" si="130"/>
        <v>1.4833782789750449</v>
      </c>
      <c r="R135" s="17">
        <f t="shared" si="130"/>
        <v>1.2766032454828384</v>
      </c>
      <c r="S135" s="17">
        <f t="shared" si="130"/>
        <v>1.292251644372538</v>
      </c>
      <c r="T135" s="17">
        <f t="shared" si="130"/>
        <v>1.3072986547186674</v>
      </c>
      <c r="U135" s="17">
        <f t="shared" si="130"/>
        <v>1.3495333537074987</v>
      </c>
      <c r="V135" s="17">
        <f t="shared" si="130"/>
        <v>1.1663428555075166</v>
      </c>
      <c r="W135" s="17">
        <f t="shared" si="130"/>
        <v>1.291870831246047</v>
      </c>
      <c r="X135" s="17">
        <f t="shared" si="130"/>
        <v>1.384131918983172</v>
      </c>
      <c r="Y135" s="17">
        <f t="shared" si="130"/>
        <v>1.3681198684559444</v>
      </c>
      <c r="Z135" s="17">
        <f t="shared" si="130"/>
        <v>1.2590126004955609</v>
      </c>
      <c r="AA135" s="17">
        <f t="shared" si="130"/>
        <v>1.4408951393741751</v>
      </c>
      <c r="AB135" s="17">
        <f t="shared" si="130"/>
        <v>1.2838285701813621</v>
      </c>
      <c r="AC135" s="78">
        <f t="shared" si="130"/>
        <v>1.302102424439866</v>
      </c>
      <c r="AD135" s="17">
        <f t="shared" si="130"/>
        <v>2.0974613706110374</v>
      </c>
      <c r="AE135" s="17">
        <f t="shared" si="130"/>
        <v>1.151169646576089</v>
      </c>
      <c r="AF135" s="17">
        <f t="shared" si="130"/>
        <v>1.3106700635288964</v>
      </c>
      <c r="AG135" s="17">
        <f t="shared" si="130"/>
        <v>1.2904072557584902</v>
      </c>
      <c r="AH135" s="17">
        <f t="shared" si="130"/>
        <v>2.130378783188374</v>
      </c>
      <c r="AI135" s="17">
        <f t="shared" si="130"/>
        <v>1.1416538366526365</v>
      </c>
      <c r="AJ135" s="17">
        <f t="shared" ref="AJ135:BP135" si="131">IF(AJ104=0,0,(AJ104-AJ106-AJ107-AJ41)/AJ104)</f>
        <v>1.4332617507013379</v>
      </c>
      <c r="AK135" s="17">
        <f t="shared" si="131"/>
        <v>1.3561437226410324</v>
      </c>
      <c r="AL135" s="17">
        <f t="shared" si="131"/>
        <v>1.3932481741722316</v>
      </c>
      <c r="AM135" s="17">
        <f t="shared" si="131"/>
        <v>1.359424076048092</v>
      </c>
      <c r="AN135" s="17">
        <f t="shared" si="131"/>
        <v>1.2243585022553123</v>
      </c>
      <c r="AO135" s="17">
        <f t="shared" si="131"/>
        <v>1.6659786172099791</v>
      </c>
      <c r="AP135" s="78">
        <f t="shared" si="131"/>
        <v>1.3683422284668443</v>
      </c>
      <c r="AQ135" s="79">
        <f t="shared" si="131"/>
        <v>0</v>
      </c>
      <c r="AR135" s="17">
        <f t="shared" si="131"/>
        <v>0</v>
      </c>
      <c r="AS135" s="17">
        <f t="shared" si="131"/>
        <v>0</v>
      </c>
      <c r="AT135" s="17">
        <f t="shared" si="131"/>
        <v>0</v>
      </c>
      <c r="AU135" s="17">
        <f t="shared" si="131"/>
        <v>0</v>
      </c>
      <c r="AV135" s="17">
        <f t="shared" si="131"/>
        <v>0</v>
      </c>
      <c r="AW135" s="17">
        <f t="shared" si="131"/>
        <v>0</v>
      </c>
      <c r="AX135" s="17">
        <f t="shared" si="131"/>
        <v>0</v>
      </c>
      <c r="AY135" s="17">
        <f t="shared" si="131"/>
        <v>0</v>
      </c>
      <c r="AZ135" s="17">
        <f t="shared" si="131"/>
        <v>0</v>
      </c>
      <c r="BA135" s="17">
        <f t="shared" si="131"/>
        <v>0</v>
      </c>
      <c r="BB135" s="17">
        <f t="shared" si="131"/>
        <v>0</v>
      </c>
      <c r="BC135" s="78">
        <f t="shared" si="131"/>
        <v>0</v>
      </c>
      <c r="BD135" s="17">
        <f t="shared" si="131"/>
        <v>0</v>
      </c>
      <c r="BE135" s="17">
        <f t="shared" si="131"/>
        <v>0</v>
      </c>
      <c r="BF135" s="17">
        <f t="shared" si="131"/>
        <v>0</v>
      </c>
      <c r="BG135" s="17">
        <f t="shared" si="131"/>
        <v>0</v>
      </c>
      <c r="BH135" s="17">
        <f t="shared" si="131"/>
        <v>0</v>
      </c>
      <c r="BI135" s="17">
        <f t="shared" si="131"/>
        <v>0</v>
      </c>
      <c r="BJ135" s="17">
        <f t="shared" si="131"/>
        <v>0</v>
      </c>
      <c r="BK135" s="17">
        <f t="shared" si="131"/>
        <v>0</v>
      </c>
      <c r="BL135" s="17">
        <f t="shared" si="131"/>
        <v>0</v>
      </c>
      <c r="BM135" s="17">
        <f t="shared" si="131"/>
        <v>0</v>
      </c>
      <c r="BN135" s="17">
        <f t="shared" si="131"/>
        <v>0</v>
      </c>
      <c r="BO135" s="17">
        <f t="shared" si="131"/>
        <v>0</v>
      </c>
      <c r="BP135" s="78">
        <f t="shared" si="131"/>
        <v>0</v>
      </c>
    </row>
    <row r="136" spans="1:68" s="17" customFormat="1" x14ac:dyDescent="0.25">
      <c r="A136" s="17" t="s">
        <v>167</v>
      </c>
      <c r="B136" s="76"/>
      <c r="C136" s="77" t="s">
        <v>168</v>
      </c>
      <c r="D136" s="17">
        <f t="shared" ref="D136:AI136" si="132">IF(0=0,0,(0-0-0-0)/0)</f>
        <v>0</v>
      </c>
      <c r="E136" s="17">
        <f t="shared" si="132"/>
        <v>0</v>
      </c>
      <c r="F136" s="17">
        <f t="shared" si="132"/>
        <v>0</v>
      </c>
      <c r="G136" s="17">
        <f t="shared" si="132"/>
        <v>0</v>
      </c>
      <c r="H136" s="17">
        <f t="shared" si="132"/>
        <v>0</v>
      </c>
      <c r="I136" s="17">
        <f t="shared" si="132"/>
        <v>0</v>
      </c>
      <c r="J136" s="17">
        <f t="shared" si="132"/>
        <v>0</v>
      </c>
      <c r="K136" s="17">
        <f t="shared" si="132"/>
        <v>0</v>
      </c>
      <c r="L136" s="17">
        <f t="shared" si="132"/>
        <v>0</v>
      </c>
      <c r="M136" s="17">
        <f t="shared" si="132"/>
        <v>0</v>
      </c>
      <c r="N136" s="17">
        <f t="shared" si="132"/>
        <v>0</v>
      </c>
      <c r="O136" s="17">
        <f t="shared" si="132"/>
        <v>0</v>
      </c>
      <c r="P136" s="78">
        <f t="shared" si="132"/>
        <v>0</v>
      </c>
      <c r="Q136" s="17">
        <f t="shared" si="132"/>
        <v>0</v>
      </c>
      <c r="R136" s="17">
        <f t="shared" si="132"/>
        <v>0</v>
      </c>
      <c r="S136" s="17">
        <f t="shared" si="132"/>
        <v>0</v>
      </c>
      <c r="T136" s="17">
        <f t="shared" si="132"/>
        <v>0</v>
      </c>
      <c r="U136" s="17">
        <f t="shared" si="132"/>
        <v>0</v>
      </c>
      <c r="V136" s="17">
        <f t="shared" si="132"/>
        <v>0</v>
      </c>
      <c r="W136" s="17">
        <f t="shared" si="132"/>
        <v>0</v>
      </c>
      <c r="X136" s="17">
        <f t="shared" si="132"/>
        <v>0</v>
      </c>
      <c r="Y136" s="17">
        <f t="shared" si="132"/>
        <v>0</v>
      </c>
      <c r="Z136" s="17">
        <f t="shared" si="132"/>
        <v>0</v>
      </c>
      <c r="AA136" s="17">
        <f t="shared" si="132"/>
        <v>0</v>
      </c>
      <c r="AB136" s="17">
        <f t="shared" si="132"/>
        <v>0</v>
      </c>
      <c r="AC136" s="78">
        <f t="shared" si="132"/>
        <v>0</v>
      </c>
      <c r="AD136" s="17">
        <f t="shared" si="132"/>
        <v>0</v>
      </c>
      <c r="AE136" s="17">
        <f t="shared" si="132"/>
        <v>0</v>
      </c>
      <c r="AF136" s="17">
        <f t="shared" si="132"/>
        <v>0</v>
      </c>
      <c r="AG136" s="17">
        <f t="shared" si="132"/>
        <v>0</v>
      </c>
      <c r="AH136" s="17">
        <f t="shared" si="132"/>
        <v>0</v>
      </c>
      <c r="AI136" s="17">
        <f t="shared" si="132"/>
        <v>0</v>
      </c>
      <c r="AJ136" s="17">
        <f t="shared" ref="AJ136:BP136" si="133">IF(0=0,0,(0-0-0-0)/0)</f>
        <v>0</v>
      </c>
      <c r="AK136" s="17">
        <f t="shared" si="133"/>
        <v>0</v>
      </c>
      <c r="AL136" s="17">
        <f t="shared" si="133"/>
        <v>0</v>
      </c>
      <c r="AM136" s="17">
        <f t="shared" si="133"/>
        <v>0</v>
      </c>
      <c r="AN136" s="17">
        <f t="shared" si="133"/>
        <v>0</v>
      </c>
      <c r="AO136" s="17">
        <f t="shared" si="133"/>
        <v>0</v>
      </c>
      <c r="AP136" s="78">
        <f t="shared" si="133"/>
        <v>0</v>
      </c>
      <c r="AQ136" s="79">
        <f t="shared" si="133"/>
        <v>0</v>
      </c>
      <c r="AR136" s="17">
        <f t="shared" si="133"/>
        <v>0</v>
      </c>
      <c r="AS136" s="17">
        <f t="shared" si="133"/>
        <v>0</v>
      </c>
      <c r="AT136" s="17">
        <f t="shared" si="133"/>
        <v>0</v>
      </c>
      <c r="AU136" s="17">
        <f t="shared" si="133"/>
        <v>0</v>
      </c>
      <c r="AV136" s="17">
        <f t="shared" si="133"/>
        <v>0</v>
      </c>
      <c r="AW136" s="17">
        <f t="shared" si="133"/>
        <v>0</v>
      </c>
      <c r="AX136" s="17">
        <f t="shared" si="133"/>
        <v>0</v>
      </c>
      <c r="AY136" s="17">
        <f t="shared" si="133"/>
        <v>0</v>
      </c>
      <c r="AZ136" s="17">
        <f t="shared" si="133"/>
        <v>0</v>
      </c>
      <c r="BA136" s="17">
        <f t="shared" si="133"/>
        <v>0</v>
      </c>
      <c r="BB136" s="17">
        <f t="shared" si="133"/>
        <v>0</v>
      </c>
      <c r="BC136" s="78">
        <f t="shared" si="133"/>
        <v>0</v>
      </c>
      <c r="BD136" s="17">
        <f t="shared" si="133"/>
        <v>0</v>
      </c>
      <c r="BE136" s="17">
        <f t="shared" si="133"/>
        <v>0</v>
      </c>
      <c r="BF136" s="17">
        <f t="shared" si="133"/>
        <v>0</v>
      </c>
      <c r="BG136" s="17">
        <f t="shared" si="133"/>
        <v>0</v>
      </c>
      <c r="BH136" s="17">
        <f t="shared" si="133"/>
        <v>0</v>
      </c>
      <c r="BI136" s="17">
        <f t="shared" si="133"/>
        <v>0</v>
      </c>
      <c r="BJ136" s="17">
        <f t="shared" si="133"/>
        <v>0</v>
      </c>
      <c r="BK136" s="17">
        <f t="shared" si="133"/>
        <v>0</v>
      </c>
      <c r="BL136" s="17">
        <f t="shared" si="133"/>
        <v>0</v>
      </c>
      <c r="BM136" s="17">
        <f t="shared" si="133"/>
        <v>0</v>
      </c>
      <c r="BN136" s="17">
        <f t="shared" si="133"/>
        <v>0</v>
      </c>
      <c r="BO136" s="17">
        <f t="shared" si="133"/>
        <v>0</v>
      </c>
      <c r="BP136" s="78">
        <f t="shared" si="133"/>
        <v>0</v>
      </c>
    </row>
    <row r="137" spans="1:68" s="17" customFormat="1" x14ac:dyDescent="0.25">
      <c r="A137" s="17" t="s">
        <v>169</v>
      </c>
      <c r="B137" s="76"/>
      <c r="C137" s="77" t="s">
        <v>170</v>
      </c>
      <c r="D137" s="17">
        <f t="shared" ref="D137:AI137" si="134">IF(0=0,0,(0-0)/0)</f>
        <v>0</v>
      </c>
      <c r="E137" s="17">
        <f t="shared" si="134"/>
        <v>0</v>
      </c>
      <c r="F137" s="17">
        <f t="shared" si="134"/>
        <v>0</v>
      </c>
      <c r="G137" s="17">
        <f t="shared" si="134"/>
        <v>0</v>
      </c>
      <c r="H137" s="17">
        <f t="shared" si="134"/>
        <v>0</v>
      </c>
      <c r="I137" s="17">
        <f t="shared" si="134"/>
        <v>0</v>
      </c>
      <c r="J137" s="17">
        <f t="shared" si="134"/>
        <v>0</v>
      </c>
      <c r="K137" s="17">
        <f t="shared" si="134"/>
        <v>0</v>
      </c>
      <c r="L137" s="17">
        <f t="shared" si="134"/>
        <v>0</v>
      </c>
      <c r="M137" s="17">
        <f t="shared" si="134"/>
        <v>0</v>
      </c>
      <c r="N137" s="17">
        <f t="shared" si="134"/>
        <v>0</v>
      </c>
      <c r="O137" s="17">
        <f t="shared" si="134"/>
        <v>0</v>
      </c>
      <c r="P137" s="78">
        <f t="shared" si="134"/>
        <v>0</v>
      </c>
      <c r="Q137" s="17">
        <f t="shared" si="134"/>
        <v>0</v>
      </c>
      <c r="R137" s="17">
        <f t="shared" si="134"/>
        <v>0</v>
      </c>
      <c r="S137" s="17">
        <f t="shared" si="134"/>
        <v>0</v>
      </c>
      <c r="T137" s="17">
        <f t="shared" si="134"/>
        <v>0</v>
      </c>
      <c r="U137" s="17">
        <f t="shared" si="134"/>
        <v>0</v>
      </c>
      <c r="V137" s="17">
        <f t="shared" si="134"/>
        <v>0</v>
      </c>
      <c r="W137" s="17">
        <f t="shared" si="134"/>
        <v>0</v>
      </c>
      <c r="X137" s="17">
        <f t="shared" si="134"/>
        <v>0</v>
      </c>
      <c r="Y137" s="17">
        <f t="shared" si="134"/>
        <v>0</v>
      </c>
      <c r="Z137" s="17">
        <f t="shared" si="134"/>
        <v>0</v>
      </c>
      <c r="AA137" s="17">
        <f t="shared" si="134"/>
        <v>0</v>
      </c>
      <c r="AB137" s="17">
        <f t="shared" si="134"/>
        <v>0</v>
      </c>
      <c r="AC137" s="78">
        <f t="shared" si="134"/>
        <v>0</v>
      </c>
      <c r="AD137" s="17">
        <f t="shared" si="134"/>
        <v>0</v>
      </c>
      <c r="AE137" s="17">
        <f t="shared" si="134"/>
        <v>0</v>
      </c>
      <c r="AF137" s="17">
        <f t="shared" si="134"/>
        <v>0</v>
      </c>
      <c r="AG137" s="17">
        <f t="shared" si="134"/>
        <v>0</v>
      </c>
      <c r="AH137" s="17">
        <f t="shared" si="134"/>
        <v>0</v>
      </c>
      <c r="AI137" s="17">
        <f t="shared" si="134"/>
        <v>0</v>
      </c>
      <c r="AJ137" s="17">
        <f t="shared" ref="AJ137:BP137" si="135">IF(0=0,0,(0-0)/0)</f>
        <v>0</v>
      </c>
      <c r="AK137" s="17">
        <f t="shared" si="135"/>
        <v>0</v>
      </c>
      <c r="AL137" s="17">
        <f t="shared" si="135"/>
        <v>0</v>
      </c>
      <c r="AM137" s="17">
        <f t="shared" si="135"/>
        <v>0</v>
      </c>
      <c r="AN137" s="17">
        <f t="shared" si="135"/>
        <v>0</v>
      </c>
      <c r="AO137" s="17">
        <f t="shared" si="135"/>
        <v>0</v>
      </c>
      <c r="AP137" s="78">
        <f t="shared" si="135"/>
        <v>0</v>
      </c>
      <c r="AQ137" s="79">
        <f t="shared" si="135"/>
        <v>0</v>
      </c>
      <c r="AR137" s="17">
        <f t="shared" si="135"/>
        <v>0</v>
      </c>
      <c r="AS137" s="17">
        <f t="shared" si="135"/>
        <v>0</v>
      </c>
      <c r="AT137" s="17">
        <f t="shared" si="135"/>
        <v>0</v>
      </c>
      <c r="AU137" s="17">
        <f t="shared" si="135"/>
        <v>0</v>
      </c>
      <c r="AV137" s="17">
        <f t="shared" si="135"/>
        <v>0</v>
      </c>
      <c r="AW137" s="17">
        <f t="shared" si="135"/>
        <v>0</v>
      </c>
      <c r="AX137" s="17">
        <f t="shared" si="135"/>
        <v>0</v>
      </c>
      <c r="AY137" s="17">
        <f t="shared" si="135"/>
        <v>0</v>
      </c>
      <c r="AZ137" s="17">
        <f t="shared" si="135"/>
        <v>0</v>
      </c>
      <c r="BA137" s="17">
        <f t="shared" si="135"/>
        <v>0</v>
      </c>
      <c r="BB137" s="17">
        <f t="shared" si="135"/>
        <v>0</v>
      </c>
      <c r="BC137" s="78">
        <f t="shared" si="135"/>
        <v>0</v>
      </c>
      <c r="BD137" s="17">
        <f t="shared" si="135"/>
        <v>0</v>
      </c>
      <c r="BE137" s="17">
        <f t="shared" si="135"/>
        <v>0</v>
      </c>
      <c r="BF137" s="17">
        <f t="shared" si="135"/>
        <v>0</v>
      </c>
      <c r="BG137" s="17">
        <f t="shared" si="135"/>
        <v>0</v>
      </c>
      <c r="BH137" s="17">
        <f t="shared" si="135"/>
        <v>0</v>
      </c>
      <c r="BI137" s="17">
        <f t="shared" si="135"/>
        <v>0</v>
      </c>
      <c r="BJ137" s="17">
        <f t="shared" si="135"/>
        <v>0</v>
      </c>
      <c r="BK137" s="17">
        <f t="shared" si="135"/>
        <v>0</v>
      </c>
      <c r="BL137" s="17">
        <f t="shared" si="135"/>
        <v>0</v>
      </c>
      <c r="BM137" s="17">
        <f t="shared" si="135"/>
        <v>0</v>
      </c>
      <c r="BN137" s="17">
        <f t="shared" si="135"/>
        <v>0</v>
      </c>
      <c r="BO137" s="17">
        <f t="shared" si="135"/>
        <v>0</v>
      </c>
      <c r="BP137" s="78">
        <f t="shared" si="135"/>
        <v>0</v>
      </c>
    </row>
    <row r="138" spans="1:68" s="17" customFormat="1" x14ac:dyDescent="0.25">
      <c r="A138" s="17" t="s">
        <v>171</v>
      </c>
      <c r="B138" s="76"/>
      <c r="C138" s="77" t="s">
        <v>172</v>
      </c>
      <c r="D138" s="17">
        <f t="shared" ref="D138:AI138" si="136">IF(D106=0,0,0/D106)</f>
        <v>0</v>
      </c>
      <c r="E138" s="17">
        <f t="shared" si="136"/>
        <v>0</v>
      </c>
      <c r="F138" s="17">
        <f t="shared" si="136"/>
        <v>0</v>
      </c>
      <c r="G138" s="17">
        <f t="shared" si="136"/>
        <v>0</v>
      </c>
      <c r="H138" s="17">
        <f t="shared" si="136"/>
        <v>0</v>
      </c>
      <c r="I138" s="17">
        <f t="shared" si="136"/>
        <v>0</v>
      </c>
      <c r="J138" s="17">
        <f t="shared" si="136"/>
        <v>0</v>
      </c>
      <c r="K138" s="17">
        <f t="shared" si="136"/>
        <v>0</v>
      </c>
      <c r="L138" s="17">
        <f t="shared" si="136"/>
        <v>0</v>
      </c>
      <c r="M138" s="17">
        <f t="shared" si="136"/>
        <v>0</v>
      </c>
      <c r="N138" s="17">
        <f t="shared" si="136"/>
        <v>0</v>
      </c>
      <c r="O138" s="17">
        <f t="shared" si="136"/>
        <v>0</v>
      </c>
      <c r="P138" s="78">
        <f t="shared" si="136"/>
        <v>0</v>
      </c>
      <c r="Q138" s="17">
        <f t="shared" si="136"/>
        <v>0</v>
      </c>
      <c r="R138" s="17">
        <f t="shared" si="136"/>
        <v>0</v>
      </c>
      <c r="S138" s="17">
        <f t="shared" si="136"/>
        <v>0</v>
      </c>
      <c r="T138" s="17">
        <f t="shared" si="136"/>
        <v>0</v>
      </c>
      <c r="U138" s="17">
        <f t="shared" si="136"/>
        <v>0</v>
      </c>
      <c r="V138" s="17">
        <f t="shared" si="136"/>
        <v>0</v>
      </c>
      <c r="W138" s="17">
        <f t="shared" si="136"/>
        <v>0</v>
      </c>
      <c r="X138" s="17">
        <f t="shared" si="136"/>
        <v>0</v>
      </c>
      <c r="Y138" s="17">
        <f t="shared" si="136"/>
        <v>0</v>
      </c>
      <c r="Z138" s="17">
        <f t="shared" si="136"/>
        <v>0</v>
      </c>
      <c r="AA138" s="17">
        <f t="shared" si="136"/>
        <v>0</v>
      </c>
      <c r="AB138" s="17">
        <f t="shared" si="136"/>
        <v>0</v>
      </c>
      <c r="AC138" s="78">
        <f t="shared" si="136"/>
        <v>0</v>
      </c>
      <c r="AD138" s="17">
        <f t="shared" si="136"/>
        <v>0</v>
      </c>
      <c r="AE138" s="17">
        <f t="shared" si="136"/>
        <v>0</v>
      </c>
      <c r="AF138" s="17">
        <f t="shared" si="136"/>
        <v>0</v>
      </c>
      <c r="AG138" s="17">
        <f t="shared" si="136"/>
        <v>0</v>
      </c>
      <c r="AH138" s="17">
        <f t="shared" si="136"/>
        <v>0</v>
      </c>
      <c r="AI138" s="17">
        <f t="shared" si="136"/>
        <v>0</v>
      </c>
      <c r="AJ138" s="17">
        <f t="shared" ref="AJ138:BP138" si="137">IF(AJ106=0,0,0/AJ106)</f>
        <v>0</v>
      </c>
      <c r="AK138" s="17">
        <f t="shared" si="137"/>
        <v>0</v>
      </c>
      <c r="AL138" s="17">
        <f t="shared" si="137"/>
        <v>0</v>
      </c>
      <c r="AM138" s="17">
        <f t="shared" si="137"/>
        <v>0</v>
      </c>
      <c r="AN138" s="17">
        <f t="shared" si="137"/>
        <v>0</v>
      </c>
      <c r="AO138" s="17">
        <f t="shared" si="137"/>
        <v>0</v>
      </c>
      <c r="AP138" s="78">
        <f t="shared" si="137"/>
        <v>0</v>
      </c>
      <c r="AQ138" s="79">
        <f t="shared" si="137"/>
        <v>0</v>
      </c>
      <c r="AR138" s="17">
        <f t="shared" si="137"/>
        <v>0</v>
      </c>
      <c r="AS138" s="17">
        <f t="shared" si="137"/>
        <v>0</v>
      </c>
      <c r="AT138" s="17">
        <f t="shared" si="137"/>
        <v>0</v>
      </c>
      <c r="AU138" s="17">
        <f t="shared" si="137"/>
        <v>0</v>
      </c>
      <c r="AV138" s="17">
        <f t="shared" si="137"/>
        <v>0</v>
      </c>
      <c r="AW138" s="17">
        <f t="shared" si="137"/>
        <v>0</v>
      </c>
      <c r="AX138" s="17">
        <f t="shared" si="137"/>
        <v>0</v>
      </c>
      <c r="AY138" s="17">
        <f t="shared" si="137"/>
        <v>0</v>
      </c>
      <c r="AZ138" s="17">
        <f t="shared" si="137"/>
        <v>0</v>
      </c>
      <c r="BA138" s="17">
        <f t="shared" si="137"/>
        <v>0</v>
      </c>
      <c r="BB138" s="17">
        <f t="shared" si="137"/>
        <v>0</v>
      </c>
      <c r="BC138" s="78">
        <f t="shared" si="137"/>
        <v>0</v>
      </c>
      <c r="BD138" s="17">
        <f t="shared" si="137"/>
        <v>0</v>
      </c>
      <c r="BE138" s="17">
        <f t="shared" si="137"/>
        <v>0</v>
      </c>
      <c r="BF138" s="17">
        <f t="shared" si="137"/>
        <v>0</v>
      </c>
      <c r="BG138" s="17">
        <f t="shared" si="137"/>
        <v>0</v>
      </c>
      <c r="BH138" s="17">
        <f t="shared" si="137"/>
        <v>0</v>
      </c>
      <c r="BI138" s="17">
        <f t="shared" si="137"/>
        <v>0</v>
      </c>
      <c r="BJ138" s="17">
        <f t="shared" si="137"/>
        <v>0</v>
      </c>
      <c r="BK138" s="17">
        <f t="shared" si="137"/>
        <v>0</v>
      </c>
      <c r="BL138" s="17">
        <f t="shared" si="137"/>
        <v>0</v>
      </c>
      <c r="BM138" s="17">
        <f t="shared" si="137"/>
        <v>0</v>
      </c>
      <c r="BN138" s="17">
        <f t="shared" si="137"/>
        <v>0</v>
      </c>
      <c r="BO138" s="17">
        <f t="shared" si="137"/>
        <v>0</v>
      </c>
      <c r="BP138" s="78">
        <f t="shared" si="137"/>
        <v>0</v>
      </c>
    </row>
    <row r="139" spans="1:68" s="19" customFormat="1" x14ac:dyDescent="0.25">
      <c r="A139" s="19" t="s">
        <v>173</v>
      </c>
      <c r="B139" s="84"/>
      <c r="C139" s="85" t="s">
        <v>174</v>
      </c>
      <c r="D139" s="19">
        <f t="shared" ref="D139:AI139" si="138">IF((D104-D106-D107-D41)=0,0,(ABS(D119)/(D104-D106-D107-D41)))</f>
        <v>0</v>
      </c>
      <c r="E139" s="19">
        <f t="shared" si="138"/>
        <v>0</v>
      </c>
      <c r="F139" s="19">
        <f t="shared" si="138"/>
        <v>0</v>
      </c>
      <c r="G139" s="19">
        <f t="shared" si="138"/>
        <v>0</v>
      </c>
      <c r="H139" s="19">
        <f t="shared" si="138"/>
        <v>0</v>
      </c>
      <c r="I139" s="19">
        <f t="shared" si="138"/>
        <v>0</v>
      </c>
      <c r="J139" s="19">
        <f t="shared" si="138"/>
        <v>0</v>
      </c>
      <c r="K139" s="19">
        <f t="shared" si="138"/>
        <v>0</v>
      </c>
      <c r="L139" s="19">
        <f t="shared" si="138"/>
        <v>0</v>
      </c>
      <c r="M139" s="19">
        <f t="shared" si="138"/>
        <v>0</v>
      </c>
      <c r="N139" s="19">
        <f t="shared" si="138"/>
        <v>0</v>
      </c>
      <c r="O139" s="19">
        <f t="shared" si="138"/>
        <v>0</v>
      </c>
      <c r="P139" s="86">
        <f t="shared" si="138"/>
        <v>0</v>
      </c>
      <c r="Q139" s="19">
        <f t="shared" si="138"/>
        <v>0</v>
      </c>
      <c r="R139" s="19">
        <f t="shared" si="138"/>
        <v>0</v>
      </c>
      <c r="S139" s="19">
        <f t="shared" si="138"/>
        <v>0</v>
      </c>
      <c r="T139" s="19">
        <f t="shared" si="138"/>
        <v>0</v>
      </c>
      <c r="U139" s="19">
        <f t="shared" si="138"/>
        <v>0</v>
      </c>
      <c r="V139" s="19">
        <f t="shared" si="138"/>
        <v>0</v>
      </c>
      <c r="W139" s="19">
        <f t="shared" si="138"/>
        <v>0</v>
      </c>
      <c r="X139" s="19">
        <f t="shared" si="138"/>
        <v>0</v>
      </c>
      <c r="Y139" s="19">
        <f t="shared" si="138"/>
        <v>0</v>
      </c>
      <c r="Z139" s="19">
        <f t="shared" si="138"/>
        <v>0.49073771860073623</v>
      </c>
      <c r="AA139" s="19">
        <f t="shared" si="138"/>
        <v>0</v>
      </c>
      <c r="AB139" s="19">
        <f t="shared" si="138"/>
        <v>0</v>
      </c>
      <c r="AC139" s="86">
        <f t="shared" si="138"/>
        <v>6.6795099004681682E-2</v>
      </c>
      <c r="AD139" s="19">
        <f t="shared" si="138"/>
        <v>0</v>
      </c>
      <c r="AE139" s="19">
        <f t="shared" si="138"/>
        <v>0</v>
      </c>
      <c r="AF139" s="19">
        <f t="shared" si="138"/>
        <v>0</v>
      </c>
      <c r="AG139" s="19">
        <f t="shared" si="138"/>
        <v>0</v>
      </c>
      <c r="AH139" s="19">
        <f t="shared" si="138"/>
        <v>0</v>
      </c>
      <c r="AI139" s="19">
        <f t="shared" si="138"/>
        <v>0</v>
      </c>
      <c r="AJ139" s="19">
        <f t="shared" ref="AJ139:BP139" si="139">IF((AJ104-AJ106-AJ107-AJ41)=0,0,(ABS(AJ119)/(AJ104-AJ106-AJ107-AJ41)))</f>
        <v>0</v>
      </c>
      <c r="AK139" s="19">
        <f t="shared" si="139"/>
        <v>0</v>
      </c>
      <c r="AL139" s="19">
        <f t="shared" si="139"/>
        <v>0</v>
      </c>
      <c r="AM139" s="19">
        <f t="shared" si="139"/>
        <v>1.0986618343501915</v>
      </c>
      <c r="AN139" s="19">
        <f t="shared" si="139"/>
        <v>0</v>
      </c>
      <c r="AO139" s="19">
        <f t="shared" si="139"/>
        <v>0</v>
      </c>
      <c r="AP139" s="86">
        <f t="shared" si="139"/>
        <v>0.11143531544014963</v>
      </c>
      <c r="AQ139" s="87">
        <f t="shared" si="139"/>
        <v>0</v>
      </c>
      <c r="AR139" s="19">
        <f t="shared" si="139"/>
        <v>0</v>
      </c>
      <c r="AS139" s="19">
        <f t="shared" si="139"/>
        <v>0</v>
      </c>
      <c r="AT139" s="19">
        <f t="shared" si="139"/>
        <v>0</v>
      </c>
      <c r="AU139" s="19">
        <f t="shared" si="139"/>
        <v>0</v>
      </c>
      <c r="AV139" s="19">
        <f t="shared" si="139"/>
        <v>0</v>
      </c>
      <c r="AW139" s="19">
        <f t="shared" si="139"/>
        <v>0</v>
      </c>
      <c r="AX139" s="19">
        <f t="shared" si="139"/>
        <v>0</v>
      </c>
      <c r="AY139" s="19">
        <f t="shared" si="139"/>
        <v>0</v>
      </c>
      <c r="AZ139" s="19">
        <f t="shared" si="139"/>
        <v>0</v>
      </c>
      <c r="BA139" s="19">
        <f t="shared" si="139"/>
        <v>0</v>
      </c>
      <c r="BB139" s="19">
        <f t="shared" si="139"/>
        <v>0</v>
      </c>
      <c r="BC139" s="86">
        <f t="shared" si="139"/>
        <v>0</v>
      </c>
      <c r="BD139" s="19">
        <f t="shared" si="139"/>
        <v>0</v>
      </c>
      <c r="BE139" s="19">
        <f t="shared" si="139"/>
        <v>0</v>
      </c>
      <c r="BF139" s="19">
        <f t="shared" si="139"/>
        <v>0</v>
      </c>
      <c r="BG139" s="19">
        <f t="shared" si="139"/>
        <v>0</v>
      </c>
      <c r="BH139" s="19">
        <f t="shared" si="139"/>
        <v>0</v>
      </c>
      <c r="BI139" s="19">
        <f t="shared" si="139"/>
        <v>0</v>
      </c>
      <c r="BJ139" s="19">
        <f t="shared" si="139"/>
        <v>0</v>
      </c>
      <c r="BK139" s="19">
        <f t="shared" si="139"/>
        <v>0</v>
      </c>
      <c r="BL139" s="19">
        <f t="shared" si="139"/>
        <v>0</v>
      </c>
      <c r="BM139" s="19">
        <f t="shared" si="139"/>
        <v>0</v>
      </c>
      <c r="BN139" s="19">
        <f t="shared" si="139"/>
        <v>0</v>
      </c>
      <c r="BO139" s="19">
        <f t="shared" si="139"/>
        <v>0</v>
      </c>
      <c r="BP139" s="86">
        <f t="shared" si="139"/>
        <v>0</v>
      </c>
    </row>
    <row r="141" spans="1:68" s="20" customFormat="1" x14ac:dyDescent="0.25">
      <c r="A141" s="20" t="s">
        <v>175</v>
      </c>
      <c r="B141" s="88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90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90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  <c r="AN141" s="89"/>
      <c r="AO141" s="89"/>
      <c r="AP141" s="90"/>
      <c r="AQ141" s="89"/>
      <c r="AR141" s="89"/>
      <c r="AS141" s="89"/>
      <c r="AT141" s="89"/>
      <c r="AU141" s="89"/>
      <c r="AV141" s="89"/>
      <c r="AW141" s="89"/>
      <c r="AX141" s="89"/>
      <c r="AY141" s="89"/>
      <c r="AZ141" s="89"/>
      <c r="BA141" s="89"/>
      <c r="BB141" s="89"/>
      <c r="BC141" s="90"/>
      <c r="BD141" s="89"/>
      <c r="BE141" s="89"/>
      <c r="BF141" s="89"/>
      <c r="BG141" s="89"/>
      <c r="BH141" s="89"/>
      <c r="BI141" s="89"/>
      <c r="BJ141" s="89"/>
      <c r="BK141" s="89"/>
      <c r="BL141" s="89"/>
      <c r="BM141" s="89"/>
      <c r="BN141" s="89"/>
      <c r="BO141" s="89"/>
      <c r="BP141" s="90"/>
    </row>
    <row r="142" spans="1:68" x14ac:dyDescent="0.25">
      <c r="A142" t="s">
        <v>176</v>
      </c>
      <c r="B142" s="2" t="s">
        <v>177</v>
      </c>
      <c r="D142" s="3">
        <v>26250.25</v>
      </c>
      <c r="E142" s="3">
        <v>17556.09</v>
      </c>
      <c r="F142" s="3">
        <v>26213.62</v>
      </c>
      <c r="G142" s="3">
        <v>28190.81</v>
      </c>
      <c r="H142" s="3">
        <v>26027.74</v>
      </c>
      <c r="I142" s="3">
        <v>28843.86</v>
      </c>
      <c r="J142" s="3">
        <v>27639.23</v>
      </c>
      <c r="K142" s="3">
        <v>28289.89</v>
      </c>
      <c r="L142" s="3">
        <v>29063.47</v>
      </c>
      <c r="M142" s="3">
        <v>31927.82</v>
      </c>
      <c r="N142" s="3">
        <v>30565.47</v>
      </c>
      <c r="O142" s="3">
        <v>31302.48</v>
      </c>
      <c r="P142" s="4">
        <f>F142</f>
        <v>26213.62</v>
      </c>
      <c r="Q142" s="3">
        <v>26665.82</v>
      </c>
      <c r="R142" s="3">
        <v>30150.41</v>
      </c>
      <c r="S142" s="3">
        <v>30743.8</v>
      </c>
      <c r="T142" s="3">
        <v>32677.55</v>
      </c>
      <c r="U142" s="3">
        <v>29375.11</v>
      </c>
      <c r="V142" s="3">
        <v>31617.37</v>
      </c>
      <c r="W142" s="3">
        <v>31975.59</v>
      </c>
      <c r="X142" s="3">
        <v>28935.81</v>
      </c>
      <c r="Y142" s="3">
        <v>28497.63</v>
      </c>
      <c r="Z142" s="3">
        <v>34035.360000000001</v>
      </c>
      <c r="AA142" s="3">
        <v>28431.74</v>
      </c>
      <c r="AB142" s="3">
        <v>31839.21</v>
      </c>
      <c r="AC142" s="4">
        <f>S142</f>
        <v>30743.8</v>
      </c>
      <c r="AD142" s="3">
        <v>25191.43</v>
      </c>
      <c r="AE142" s="3">
        <v>26024.94</v>
      </c>
      <c r="AF142" s="3">
        <v>29160.959999999999</v>
      </c>
      <c r="AG142" s="3">
        <v>33625.4</v>
      </c>
      <c r="AH142" s="3">
        <v>26877.18</v>
      </c>
      <c r="AI142" s="3">
        <v>30349.1</v>
      </c>
      <c r="AJ142" s="3">
        <v>29686.68</v>
      </c>
      <c r="AK142" s="3">
        <v>26930.04</v>
      </c>
      <c r="AL142" s="3">
        <v>27838.82</v>
      </c>
      <c r="AM142" s="3">
        <v>29687.69</v>
      </c>
      <c r="AN142" s="3">
        <v>30820.74</v>
      </c>
      <c r="AO142" s="3">
        <v>25000</v>
      </c>
      <c r="AP142" s="4">
        <f>AF142</f>
        <v>29160.959999999999</v>
      </c>
      <c r="AQ142" s="5">
        <v>25000</v>
      </c>
      <c r="AR142" s="3">
        <v>25000</v>
      </c>
      <c r="AS142" s="3">
        <v>25000</v>
      </c>
      <c r="AT142" s="3">
        <v>25000</v>
      </c>
      <c r="AU142" s="3">
        <v>25000</v>
      </c>
      <c r="AV142" s="3">
        <v>25000</v>
      </c>
      <c r="AW142" s="3">
        <v>25000</v>
      </c>
      <c r="AX142" s="3">
        <v>25000</v>
      </c>
      <c r="AY142" s="3">
        <v>25000</v>
      </c>
      <c r="AZ142" s="3">
        <v>25000</v>
      </c>
      <c r="BA142" s="3">
        <v>25000</v>
      </c>
      <c r="BB142" s="3">
        <v>25000</v>
      </c>
      <c r="BC142" s="4">
        <f>AS142</f>
        <v>25000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4">
        <f>BF142</f>
        <v>0</v>
      </c>
    </row>
    <row r="143" spans="1:68" x14ac:dyDescent="0.25">
      <c r="A143" t="s">
        <v>178</v>
      </c>
      <c r="B143" s="2" t="s">
        <v>178</v>
      </c>
      <c r="D143" s="3">
        <v>13750.75</v>
      </c>
      <c r="E143" s="3">
        <v>13750.75</v>
      </c>
      <c r="F143" s="3">
        <v>17391.62</v>
      </c>
      <c r="G143" s="3">
        <v>26964.03</v>
      </c>
      <c r="H143" s="3">
        <v>30047.24</v>
      </c>
      <c r="I143" s="3">
        <v>43309.98</v>
      </c>
      <c r="J143" s="3">
        <v>51227.68</v>
      </c>
      <c r="K143" s="3">
        <v>61097.34</v>
      </c>
      <c r="L143" s="3">
        <v>73287.759999999995</v>
      </c>
      <c r="M143" s="3">
        <v>94071.23</v>
      </c>
      <c r="N143" s="3">
        <v>110767.63</v>
      </c>
      <c r="O143" s="3">
        <v>132537.07</v>
      </c>
      <c r="P143" s="4">
        <f>F143</f>
        <v>17391.62</v>
      </c>
      <c r="Q143" s="3">
        <v>137534.51999999999</v>
      </c>
      <c r="R143" s="3">
        <v>152985.76</v>
      </c>
      <c r="S143" s="3">
        <v>170217.16</v>
      </c>
      <c r="T143" s="3">
        <v>193249.82</v>
      </c>
      <c r="U143" s="3">
        <v>206375.16</v>
      </c>
      <c r="V143" s="3">
        <v>231045.91</v>
      </c>
      <c r="W143" s="3">
        <v>251972.68</v>
      </c>
      <c r="X143" s="3">
        <v>266785.03000000003</v>
      </c>
      <c r="Y143" s="3">
        <v>277277.90999999997</v>
      </c>
      <c r="Z143" s="3">
        <v>278089.82639</v>
      </c>
      <c r="AA143" s="3">
        <v>288385.03639000002</v>
      </c>
      <c r="AB143" s="3">
        <v>308902.65639000002</v>
      </c>
      <c r="AC143" s="4">
        <f>S143</f>
        <v>170217.16</v>
      </c>
      <c r="AD143" s="3">
        <v>309476.94639</v>
      </c>
      <c r="AE143" s="3">
        <v>312551.77639000001</v>
      </c>
      <c r="AF143" s="3">
        <v>325034.64639000001</v>
      </c>
      <c r="AG143" s="3">
        <v>350910.82639</v>
      </c>
      <c r="AH143" s="3">
        <v>356542.36638999998</v>
      </c>
      <c r="AI143" s="3">
        <v>385876.65639000002</v>
      </c>
      <c r="AJ143" s="3">
        <v>399936.69639</v>
      </c>
      <c r="AK143" s="3">
        <v>405726.80638999998</v>
      </c>
      <c r="AL143" s="3">
        <v>414243.25639</v>
      </c>
      <c r="AM143" s="3">
        <v>388122.30547999998</v>
      </c>
      <c r="AN143" s="3">
        <v>406502.12547999999</v>
      </c>
      <c r="AO143" s="3">
        <v>425769.04547999997</v>
      </c>
      <c r="AP143" s="4">
        <f>AF143</f>
        <v>325034.64639000001</v>
      </c>
      <c r="AQ143" s="5">
        <v>425769.04547999997</v>
      </c>
      <c r="AR143" s="3">
        <v>425769.04547999997</v>
      </c>
      <c r="AS143" s="3">
        <v>425769.04547999997</v>
      </c>
      <c r="AT143" s="3">
        <v>425769.04547999997</v>
      </c>
      <c r="AU143" s="3">
        <v>425769.04547999997</v>
      </c>
      <c r="AV143" s="3">
        <v>425769.04547999997</v>
      </c>
      <c r="AW143" s="3">
        <v>425769.04547999997</v>
      </c>
      <c r="AX143" s="3">
        <v>425769.04547999997</v>
      </c>
      <c r="AY143" s="3">
        <v>425769.04547999997</v>
      </c>
      <c r="AZ143" s="3">
        <v>425769.04547999997</v>
      </c>
      <c r="BA143" s="3">
        <v>425769.04547999997</v>
      </c>
      <c r="BB143" s="3">
        <v>425769.04547999997</v>
      </c>
      <c r="BC143" s="4">
        <f>AS143</f>
        <v>425769.04547999997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4">
        <f>BF143</f>
        <v>0</v>
      </c>
    </row>
    <row r="144" spans="1:68" s="21" customFormat="1" x14ac:dyDescent="0.25">
      <c r="A144" s="91" t="s">
        <v>179</v>
      </c>
      <c r="B144" s="92"/>
      <c r="C144" s="91"/>
      <c r="D144" s="93">
        <f t="shared" ref="D144:AI144" si="140">SUM(D142:D143)</f>
        <v>40001</v>
      </c>
      <c r="E144" s="93">
        <f t="shared" si="140"/>
        <v>31306.84</v>
      </c>
      <c r="F144" s="93">
        <f t="shared" si="140"/>
        <v>43605.24</v>
      </c>
      <c r="G144" s="93">
        <f t="shared" si="140"/>
        <v>55154.84</v>
      </c>
      <c r="H144" s="93">
        <f t="shared" si="140"/>
        <v>56074.98</v>
      </c>
      <c r="I144" s="93">
        <f t="shared" si="140"/>
        <v>72153.84</v>
      </c>
      <c r="J144" s="93">
        <f t="shared" si="140"/>
        <v>78866.91</v>
      </c>
      <c r="K144" s="93">
        <f t="shared" si="140"/>
        <v>89387.23</v>
      </c>
      <c r="L144" s="93">
        <f t="shared" si="140"/>
        <v>102351.23</v>
      </c>
      <c r="M144" s="93">
        <f t="shared" si="140"/>
        <v>125999.04999999999</v>
      </c>
      <c r="N144" s="93">
        <f t="shared" si="140"/>
        <v>141333.1</v>
      </c>
      <c r="O144" s="93">
        <f t="shared" si="140"/>
        <v>163839.55000000002</v>
      </c>
      <c r="P144" s="94">
        <f t="shared" si="140"/>
        <v>43605.24</v>
      </c>
      <c r="Q144" s="93">
        <f t="shared" si="140"/>
        <v>164200.34</v>
      </c>
      <c r="R144" s="93">
        <f t="shared" si="140"/>
        <v>183136.17</v>
      </c>
      <c r="S144" s="93">
        <f t="shared" si="140"/>
        <v>200960.96</v>
      </c>
      <c r="T144" s="93">
        <f t="shared" si="140"/>
        <v>225927.37</v>
      </c>
      <c r="U144" s="93">
        <f t="shared" si="140"/>
        <v>235750.27000000002</v>
      </c>
      <c r="V144" s="93">
        <f t="shared" si="140"/>
        <v>262663.28000000003</v>
      </c>
      <c r="W144" s="93">
        <f t="shared" si="140"/>
        <v>283948.27</v>
      </c>
      <c r="X144" s="93">
        <f t="shared" si="140"/>
        <v>295720.84000000003</v>
      </c>
      <c r="Y144" s="93">
        <f t="shared" si="140"/>
        <v>305775.53999999998</v>
      </c>
      <c r="Z144" s="93">
        <f t="shared" si="140"/>
        <v>312125.18638999999</v>
      </c>
      <c r="AA144" s="93">
        <f t="shared" si="140"/>
        <v>316816.77639000001</v>
      </c>
      <c r="AB144" s="93">
        <f t="shared" si="140"/>
        <v>340741.86639000004</v>
      </c>
      <c r="AC144" s="94">
        <f t="shared" si="140"/>
        <v>200960.96</v>
      </c>
      <c r="AD144" s="93">
        <f t="shared" si="140"/>
        <v>334668.37638999999</v>
      </c>
      <c r="AE144" s="93">
        <f t="shared" si="140"/>
        <v>338576.71639000002</v>
      </c>
      <c r="AF144" s="93">
        <f t="shared" si="140"/>
        <v>354195.60639000003</v>
      </c>
      <c r="AG144" s="93">
        <f t="shared" si="140"/>
        <v>384536.22639000003</v>
      </c>
      <c r="AH144" s="93">
        <f t="shared" si="140"/>
        <v>383419.54638999997</v>
      </c>
      <c r="AI144" s="93">
        <f t="shared" si="140"/>
        <v>416225.75639</v>
      </c>
      <c r="AJ144" s="93">
        <f t="shared" ref="AJ144:BO144" si="141">SUM(AJ142:AJ143)</f>
        <v>429623.37638999999</v>
      </c>
      <c r="AK144" s="93">
        <f t="shared" si="141"/>
        <v>432656.84638999996</v>
      </c>
      <c r="AL144" s="93">
        <f t="shared" si="141"/>
        <v>442082.07639</v>
      </c>
      <c r="AM144" s="93">
        <f t="shared" si="141"/>
        <v>417809.99547999998</v>
      </c>
      <c r="AN144" s="93">
        <f t="shared" si="141"/>
        <v>437322.86547999998</v>
      </c>
      <c r="AO144" s="93">
        <f t="shared" si="141"/>
        <v>450769.04547999997</v>
      </c>
      <c r="AP144" s="94">
        <f t="shared" si="141"/>
        <v>354195.60639000003</v>
      </c>
      <c r="AQ144" s="95">
        <f t="shared" si="141"/>
        <v>450769.04547999997</v>
      </c>
      <c r="AR144" s="93">
        <f t="shared" si="141"/>
        <v>450769.04547999997</v>
      </c>
      <c r="AS144" s="93">
        <f t="shared" si="141"/>
        <v>450769.04547999997</v>
      </c>
      <c r="AT144" s="93">
        <f t="shared" si="141"/>
        <v>450769.04547999997</v>
      </c>
      <c r="AU144" s="93">
        <f t="shared" si="141"/>
        <v>450769.04547999997</v>
      </c>
      <c r="AV144" s="93">
        <f t="shared" si="141"/>
        <v>450769.04547999997</v>
      </c>
      <c r="AW144" s="93">
        <f t="shared" si="141"/>
        <v>450769.04547999997</v>
      </c>
      <c r="AX144" s="93">
        <f t="shared" si="141"/>
        <v>450769.04547999997</v>
      </c>
      <c r="AY144" s="93">
        <f t="shared" si="141"/>
        <v>450769.04547999997</v>
      </c>
      <c r="AZ144" s="93">
        <f t="shared" si="141"/>
        <v>450769.04547999997</v>
      </c>
      <c r="BA144" s="93">
        <f t="shared" si="141"/>
        <v>450769.04547999997</v>
      </c>
      <c r="BB144" s="93">
        <f t="shared" si="141"/>
        <v>450769.04547999997</v>
      </c>
      <c r="BC144" s="94">
        <f t="shared" si="141"/>
        <v>450769.04547999997</v>
      </c>
      <c r="BD144" s="93">
        <f t="shared" si="141"/>
        <v>0</v>
      </c>
      <c r="BE144" s="93">
        <f t="shared" si="141"/>
        <v>0</v>
      </c>
      <c r="BF144" s="93">
        <f t="shared" si="141"/>
        <v>0</v>
      </c>
      <c r="BG144" s="93">
        <f t="shared" si="141"/>
        <v>0</v>
      </c>
      <c r="BH144" s="93">
        <f t="shared" si="141"/>
        <v>0</v>
      </c>
      <c r="BI144" s="93">
        <f t="shared" si="141"/>
        <v>0</v>
      </c>
      <c r="BJ144" s="93">
        <f t="shared" si="141"/>
        <v>0</v>
      </c>
      <c r="BK144" s="93">
        <f t="shared" si="141"/>
        <v>0</v>
      </c>
      <c r="BL144" s="93">
        <f t="shared" si="141"/>
        <v>0</v>
      </c>
      <c r="BM144" s="93">
        <f t="shared" si="141"/>
        <v>0</v>
      </c>
      <c r="BN144" s="93">
        <f t="shared" si="141"/>
        <v>0</v>
      </c>
      <c r="BO144" s="93">
        <f t="shared" si="141"/>
        <v>0</v>
      </c>
      <c r="BP144" s="94">
        <f t="shared" ref="BP144:CU144" si="142">SUM(BP142:BP143)</f>
        <v>0</v>
      </c>
    </row>
    <row r="146" spans="1:68" s="22" customFormat="1" x14ac:dyDescent="0.25">
      <c r="A146" s="22" t="s">
        <v>180</v>
      </c>
      <c r="B146" s="96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8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8"/>
      <c r="AD146" s="97"/>
      <c r="AE146" s="97"/>
      <c r="AF146" s="97"/>
      <c r="AG146" s="97"/>
      <c r="AH146" s="97"/>
      <c r="AI146" s="97"/>
      <c r="AJ146" s="97"/>
      <c r="AK146" s="97"/>
      <c r="AL146" s="97"/>
      <c r="AM146" s="97"/>
      <c r="AN146" s="97"/>
      <c r="AO146" s="97"/>
      <c r="AP146" s="98"/>
      <c r="AQ146" s="97"/>
      <c r="AR146" s="97"/>
      <c r="AS146" s="97"/>
      <c r="AT146" s="97"/>
      <c r="AU146" s="97"/>
      <c r="AV146" s="97"/>
      <c r="AW146" s="97"/>
      <c r="AX146" s="97"/>
      <c r="AY146" s="97"/>
      <c r="AZ146" s="97"/>
      <c r="BA146" s="97"/>
      <c r="BB146" s="97"/>
      <c r="BC146" s="98"/>
      <c r="BD146" s="97"/>
      <c r="BE146" s="97"/>
      <c r="BF146" s="97"/>
      <c r="BG146" s="97"/>
      <c r="BH146" s="97"/>
      <c r="BI146" s="97"/>
      <c r="BJ146" s="97"/>
      <c r="BK146" s="97"/>
      <c r="BL146" s="97"/>
      <c r="BM146" s="97"/>
      <c r="BN146" s="97"/>
      <c r="BO146" s="97"/>
      <c r="BP146" s="98"/>
    </row>
    <row r="147" spans="1:68" s="24" customFormat="1" x14ac:dyDescent="0.25">
      <c r="A147" s="99" t="s">
        <v>181</v>
      </c>
      <c r="B147" s="100"/>
      <c r="C147" s="99"/>
      <c r="D147" s="101">
        <v>0</v>
      </c>
      <c r="E147" s="101">
        <v>0</v>
      </c>
      <c r="F147" s="101">
        <v>0</v>
      </c>
      <c r="G147" s="101">
        <v>5767.09</v>
      </c>
      <c r="H147" s="101">
        <v>0</v>
      </c>
      <c r="I147" s="101">
        <v>0</v>
      </c>
      <c r="J147" s="101">
        <v>9225.9</v>
      </c>
      <c r="K147" s="101">
        <v>0</v>
      </c>
      <c r="L147" s="101">
        <v>0</v>
      </c>
      <c r="M147" s="101">
        <v>7804.44</v>
      </c>
      <c r="N147" s="101">
        <v>0</v>
      </c>
      <c r="O147" s="101">
        <v>0</v>
      </c>
      <c r="P147" s="102">
        <f t="shared" ref="P147:P155" si="143">SUM(D147:O147)</f>
        <v>22797.43</v>
      </c>
      <c r="Q147" s="101">
        <v>15142.92</v>
      </c>
      <c r="R147" s="101">
        <v>0</v>
      </c>
      <c r="S147" s="101">
        <v>0</v>
      </c>
      <c r="T147" s="101">
        <v>11740.5</v>
      </c>
      <c r="U147" s="101">
        <v>0</v>
      </c>
      <c r="V147" s="101">
        <v>0</v>
      </c>
      <c r="W147" s="101">
        <v>10727.5</v>
      </c>
      <c r="X147" s="101">
        <v>0</v>
      </c>
      <c r="Y147" s="101">
        <v>0</v>
      </c>
      <c r="Z147" s="101">
        <v>10342.75</v>
      </c>
      <c r="AA147" s="101">
        <v>0</v>
      </c>
      <c r="AB147" s="101">
        <v>0</v>
      </c>
      <c r="AC147" s="102">
        <f t="shared" ref="AC147:AC155" si="144">SUM(Q147:AB147)</f>
        <v>47953.67</v>
      </c>
      <c r="AD147" s="101">
        <v>16743.63</v>
      </c>
      <c r="AE147" s="101">
        <v>0</v>
      </c>
      <c r="AF147" s="101">
        <v>0</v>
      </c>
      <c r="AG147" s="101">
        <v>9448.7199999999993</v>
      </c>
      <c r="AH147" s="101">
        <v>0</v>
      </c>
      <c r="AI147" s="101">
        <v>0</v>
      </c>
      <c r="AJ147" s="101">
        <v>16902.64</v>
      </c>
      <c r="AK147" s="101">
        <v>0</v>
      </c>
      <c r="AL147" s="101">
        <v>0</v>
      </c>
      <c r="AM147" s="101">
        <v>6239.5</v>
      </c>
      <c r="AN147" s="101">
        <v>0</v>
      </c>
      <c r="AO147" s="101">
        <v>0</v>
      </c>
      <c r="AP147" s="102">
        <f t="shared" ref="AP147:AP155" si="145">SUM(AD147:AO147)</f>
        <v>49334.49</v>
      </c>
      <c r="AQ147" s="103">
        <v>11641.34</v>
      </c>
      <c r="AR147" s="101">
        <v>0</v>
      </c>
      <c r="AS147" s="101">
        <v>0</v>
      </c>
      <c r="AT147" s="101">
        <v>16778.117999999999</v>
      </c>
      <c r="AU147" s="101">
        <v>0</v>
      </c>
      <c r="AV147" s="101">
        <v>0</v>
      </c>
      <c r="AW147" s="101">
        <v>6795.2879999999996</v>
      </c>
      <c r="AX147" s="101">
        <v>0</v>
      </c>
      <c r="AY147" s="101">
        <v>0</v>
      </c>
      <c r="AZ147" s="101">
        <v>0</v>
      </c>
      <c r="BA147" s="101">
        <v>0</v>
      </c>
      <c r="BB147" s="101">
        <v>0</v>
      </c>
      <c r="BC147" s="102">
        <f t="shared" ref="BC147:BC155" si="146">SUM(AQ147:BB147)</f>
        <v>35214.745999999999</v>
      </c>
      <c r="BD147" s="101">
        <v>0</v>
      </c>
      <c r="BE147" s="101">
        <v>0</v>
      </c>
      <c r="BF147" s="101">
        <v>0</v>
      </c>
      <c r="BG147" s="101">
        <v>0</v>
      </c>
      <c r="BH147" s="101">
        <v>0</v>
      </c>
      <c r="BI147" s="101">
        <v>0</v>
      </c>
      <c r="BJ147" s="101">
        <v>0</v>
      </c>
      <c r="BK147" s="101">
        <v>0</v>
      </c>
      <c r="BL147" s="101">
        <v>0</v>
      </c>
      <c r="BM147" s="101">
        <v>0</v>
      </c>
      <c r="BN147" s="101">
        <v>0</v>
      </c>
      <c r="BO147" s="101">
        <v>0</v>
      </c>
      <c r="BP147" s="102">
        <f t="shared" ref="BP147:BP155" si="147">SUM(BD147:BO147)</f>
        <v>0</v>
      </c>
    </row>
    <row r="148" spans="1:68" x14ac:dyDescent="0.25">
      <c r="A148" t="s">
        <v>182</v>
      </c>
      <c r="D148" s="3">
        <v>0</v>
      </c>
      <c r="E148" s="3">
        <v>0</v>
      </c>
      <c r="F148" s="3">
        <v>0</v>
      </c>
      <c r="G148" s="3">
        <v>-528.88</v>
      </c>
      <c r="H148" s="3">
        <v>0</v>
      </c>
      <c r="I148" s="3">
        <v>0</v>
      </c>
      <c r="J148" s="3">
        <v>-221.92</v>
      </c>
      <c r="K148" s="3">
        <v>0</v>
      </c>
      <c r="L148" s="3">
        <v>0</v>
      </c>
      <c r="M148" s="3">
        <v>-536.67999999999995</v>
      </c>
      <c r="N148" s="3">
        <v>0</v>
      </c>
      <c r="O148" s="3">
        <v>0</v>
      </c>
      <c r="P148" s="4">
        <f t="shared" si="143"/>
        <v>-1287.48</v>
      </c>
      <c r="Q148" s="3">
        <v>-1049.3499999999999</v>
      </c>
      <c r="R148" s="3">
        <v>0</v>
      </c>
      <c r="S148" s="3">
        <v>0</v>
      </c>
      <c r="T148" s="3">
        <v>-938</v>
      </c>
      <c r="U148" s="3">
        <v>0</v>
      </c>
      <c r="V148" s="3">
        <v>0</v>
      </c>
      <c r="W148" s="3">
        <v>-1231.79</v>
      </c>
      <c r="X148" s="3">
        <v>0</v>
      </c>
      <c r="Y148" s="3">
        <v>0</v>
      </c>
      <c r="Z148" s="3">
        <v>-610.1</v>
      </c>
      <c r="AA148" s="3">
        <v>0</v>
      </c>
      <c r="AB148" s="3">
        <v>0</v>
      </c>
      <c r="AC148" s="4">
        <f t="shared" si="144"/>
        <v>-3829.24</v>
      </c>
      <c r="AD148" s="3">
        <v>-926.51</v>
      </c>
      <c r="AE148" s="3">
        <v>0</v>
      </c>
      <c r="AF148" s="3">
        <v>0</v>
      </c>
      <c r="AG148" s="3">
        <v>-855.82</v>
      </c>
      <c r="AH148" s="3">
        <v>0</v>
      </c>
      <c r="AI148" s="3">
        <v>0</v>
      </c>
      <c r="AJ148" s="3">
        <v>-930.25</v>
      </c>
      <c r="AK148" s="3">
        <v>0</v>
      </c>
      <c r="AL148" s="3">
        <v>0</v>
      </c>
      <c r="AM148" s="3">
        <v>-455.67</v>
      </c>
      <c r="AN148" s="3">
        <v>0</v>
      </c>
      <c r="AO148" s="3">
        <v>0</v>
      </c>
      <c r="AP148" s="4">
        <f t="shared" si="145"/>
        <v>-3168.25</v>
      </c>
      <c r="AQ148" s="5">
        <v>-1105.67</v>
      </c>
      <c r="AR148" s="3">
        <v>0</v>
      </c>
      <c r="AS148" s="3">
        <v>0</v>
      </c>
      <c r="AT148" s="3">
        <v>-912.73961999999995</v>
      </c>
      <c r="AU148" s="3">
        <v>0</v>
      </c>
      <c r="AV148" s="3">
        <v>0</v>
      </c>
      <c r="AW148" s="3">
        <v>-335.10786999999999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4">
        <f t="shared" si="146"/>
        <v>-2353.5174899999997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4">
        <f t="shared" si="147"/>
        <v>0</v>
      </c>
    </row>
    <row r="149" spans="1:68" x14ac:dyDescent="0.25">
      <c r="A149" t="s">
        <v>183</v>
      </c>
      <c r="D149" s="3">
        <v>0</v>
      </c>
      <c r="E149" s="3">
        <v>0</v>
      </c>
      <c r="F149" s="3">
        <v>0</v>
      </c>
      <c r="G149" s="3">
        <v>5238.1899999999996</v>
      </c>
      <c r="H149" s="3">
        <v>0</v>
      </c>
      <c r="I149" s="3">
        <v>0</v>
      </c>
      <c r="J149" s="3">
        <v>9003.9599999999991</v>
      </c>
      <c r="K149" s="3">
        <v>0</v>
      </c>
      <c r="L149" s="3">
        <v>0</v>
      </c>
      <c r="M149" s="3">
        <v>7267.77</v>
      </c>
      <c r="N149" s="3">
        <v>0</v>
      </c>
      <c r="O149" s="3">
        <v>0</v>
      </c>
      <c r="P149" s="4">
        <f t="shared" si="143"/>
        <v>21509.919999999998</v>
      </c>
      <c r="Q149" s="3">
        <v>14093.58</v>
      </c>
      <c r="R149" s="3">
        <v>0</v>
      </c>
      <c r="S149" s="3">
        <v>0</v>
      </c>
      <c r="T149" s="3">
        <v>10802.51</v>
      </c>
      <c r="U149" s="3">
        <v>0</v>
      </c>
      <c r="V149" s="3">
        <v>0</v>
      </c>
      <c r="W149" s="3">
        <v>9495.69</v>
      </c>
      <c r="X149" s="3">
        <v>0</v>
      </c>
      <c r="Y149" s="3">
        <v>0</v>
      </c>
      <c r="Z149" s="3">
        <v>9732.65</v>
      </c>
      <c r="AA149" s="3">
        <v>0</v>
      </c>
      <c r="AB149" s="3">
        <v>0</v>
      </c>
      <c r="AC149" s="4">
        <f t="shared" si="144"/>
        <v>44124.43</v>
      </c>
      <c r="AD149" s="3">
        <v>15817.13</v>
      </c>
      <c r="AE149" s="3">
        <v>0</v>
      </c>
      <c r="AF149" s="3">
        <v>0</v>
      </c>
      <c r="AG149" s="3">
        <v>8592.9</v>
      </c>
      <c r="AH149" s="3">
        <v>0</v>
      </c>
      <c r="AI149" s="3">
        <v>0</v>
      </c>
      <c r="AJ149" s="3">
        <v>15972.37</v>
      </c>
      <c r="AK149" s="3">
        <v>0</v>
      </c>
      <c r="AL149" s="3">
        <v>0</v>
      </c>
      <c r="AM149" s="3">
        <v>5783.83</v>
      </c>
      <c r="AN149" s="3">
        <v>0</v>
      </c>
      <c r="AO149" s="3">
        <v>0</v>
      </c>
      <c r="AP149" s="4">
        <f t="shared" si="145"/>
        <v>46166.23</v>
      </c>
      <c r="AQ149" s="5">
        <v>10535.65</v>
      </c>
      <c r="AR149" s="3">
        <v>0</v>
      </c>
      <c r="AS149" s="3">
        <v>0</v>
      </c>
      <c r="AT149" s="3">
        <v>15865.37838</v>
      </c>
      <c r="AU149" s="3">
        <v>0</v>
      </c>
      <c r="AV149" s="3">
        <v>0</v>
      </c>
      <c r="AW149" s="3">
        <v>6460.1801299999997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4">
        <f t="shared" si="146"/>
        <v>32861.208509999997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4">
        <f t="shared" si="147"/>
        <v>0</v>
      </c>
    </row>
    <row r="150" spans="1:68" x14ac:dyDescent="0.25">
      <c r="A150" t="s">
        <v>184</v>
      </c>
      <c r="D150" s="3">
        <v>0</v>
      </c>
      <c r="E150" s="3">
        <v>0</v>
      </c>
      <c r="F150" s="3">
        <v>0</v>
      </c>
      <c r="G150" s="3">
        <v>-1644.17</v>
      </c>
      <c r="H150" s="3">
        <v>0</v>
      </c>
      <c r="I150" s="3">
        <v>0</v>
      </c>
      <c r="J150" s="3">
        <v>-2138.1999999999998</v>
      </c>
      <c r="K150" s="3">
        <v>0</v>
      </c>
      <c r="L150" s="3">
        <v>0</v>
      </c>
      <c r="M150" s="3">
        <v>-1917.44</v>
      </c>
      <c r="N150" s="3">
        <v>0</v>
      </c>
      <c r="O150" s="3">
        <v>0</v>
      </c>
      <c r="P150" s="4">
        <f t="shared" si="143"/>
        <v>-5699.8099999999995</v>
      </c>
      <c r="Q150" s="3">
        <v>-4315.33</v>
      </c>
      <c r="R150" s="3">
        <v>0</v>
      </c>
      <c r="S150" s="3">
        <v>0</v>
      </c>
      <c r="T150" s="3">
        <v>-2772.14</v>
      </c>
      <c r="U150" s="3">
        <v>0</v>
      </c>
      <c r="V150" s="3">
        <v>0</v>
      </c>
      <c r="W150" s="3">
        <v>-3379.09</v>
      </c>
      <c r="X150" s="3">
        <v>0</v>
      </c>
      <c r="Y150" s="3">
        <v>0</v>
      </c>
      <c r="Z150" s="3">
        <v>-2329.06</v>
      </c>
      <c r="AA150" s="3">
        <v>0</v>
      </c>
      <c r="AB150" s="3">
        <v>0</v>
      </c>
      <c r="AC150" s="4">
        <f t="shared" si="144"/>
        <v>-12795.619999999999</v>
      </c>
      <c r="AD150" s="3">
        <v>-3293.45</v>
      </c>
      <c r="AE150" s="3">
        <v>0</v>
      </c>
      <c r="AF150" s="3">
        <v>0</v>
      </c>
      <c r="AG150" s="3">
        <v>-2530.75</v>
      </c>
      <c r="AH150" s="3">
        <v>0</v>
      </c>
      <c r="AI150" s="3">
        <v>0</v>
      </c>
      <c r="AJ150" s="3">
        <v>-3280.63</v>
      </c>
      <c r="AK150" s="3">
        <v>0</v>
      </c>
      <c r="AL150" s="3">
        <v>0</v>
      </c>
      <c r="AM150" s="3">
        <v>-2023.38</v>
      </c>
      <c r="AN150" s="3">
        <v>0</v>
      </c>
      <c r="AO150" s="3">
        <v>0</v>
      </c>
      <c r="AP150" s="4">
        <f t="shared" si="145"/>
        <v>-11128.21</v>
      </c>
      <c r="AQ150" s="5">
        <v>-4953.3999999999996</v>
      </c>
      <c r="AR150" s="3">
        <v>0</v>
      </c>
      <c r="AS150" s="3">
        <v>0</v>
      </c>
      <c r="AT150" s="3">
        <v>-4310.3016600000001</v>
      </c>
      <c r="AU150" s="3">
        <v>0</v>
      </c>
      <c r="AV150" s="3">
        <v>0</v>
      </c>
      <c r="AW150" s="3">
        <v>-1972.9588100000001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4">
        <f t="shared" si="146"/>
        <v>-11236.660469999999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4">
        <f t="shared" si="147"/>
        <v>0</v>
      </c>
    </row>
    <row r="151" spans="1:68" x14ac:dyDescent="0.25">
      <c r="A151" t="s">
        <v>185</v>
      </c>
      <c r="D151" s="3">
        <v>0</v>
      </c>
      <c r="E151" s="3">
        <v>0</v>
      </c>
      <c r="F151" s="3">
        <v>0</v>
      </c>
      <c r="G151" s="3">
        <v>28835.45</v>
      </c>
      <c r="H151" s="3">
        <v>0</v>
      </c>
      <c r="I151" s="3">
        <v>0</v>
      </c>
      <c r="J151" s="3">
        <v>46129.53</v>
      </c>
      <c r="K151" s="3">
        <v>0</v>
      </c>
      <c r="L151" s="3">
        <v>0</v>
      </c>
      <c r="M151" s="3">
        <v>39022.199999999997</v>
      </c>
      <c r="N151" s="3">
        <v>0</v>
      </c>
      <c r="O151" s="3">
        <v>0</v>
      </c>
      <c r="P151" s="4">
        <f t="shared" si="143"/>
        <v>113987.18</v>
      </c>
      <c r="Q151" s="3">
        <v>75714.66</v>
      </c>
      <c r="R151" s="3">
        <v>0</v>
      </c>
      <c r="S151" s="3">
        <v>0</v>
      </c>
      <c r="T151" s="3">
        <v>58702.44</v>
      </c>
      <c r="U151" s="3">
        <v>0</v>
      </c>
      <c r="V151" s="3">
        <v>0</v>
      </c>
      <c r="W151" s="3">
        <v>53637.47</v>
      </c>
      <c r="X151" s="3">
        <v>0</v>
      </c>
      <c r="Y151" s="3">
        <v>0</v>
      </c>
      <c r="Z151" s="3">
        <v>51713.75</v>
      </c>
      <c r="AA151" s="3">
        <v>0</v>
      </c>
      <c r="AB151" s="3">
        <v>0</v>
      </c>
      <c r="AC151" s="4">
        <f t="shared" si="144"/>
        <v>239768.32000000001</v>
      </c>
      <c r="AD151" s="3">
        <v>83718.16</v>
      </c>
      <c r="AE151" s="3">
        <v>0</v>
      </c>
      <c r="AF151" s="3">
        <v>0</v>
      </c>
      <c r="AG151" s="3">
        <v>47243.595000000001</v>
      </c>
      <c r="AH151" s="3">
        <v>0</v>
      </c>
      <c r="AI151" s="3">
        <v>0</v>
      </c>
      <c r="AJ151" s="3">
        <v>84513.2</v>
      </c>
      <c r="AK151" s="3">
        <v>0</v>
      </c>
      <c r="AL151" s="3">
        <v>0</v>
      </c>
      <c r="AM151" s="3">
        <v>31197.49</v>
      </c>
      <c r="AN151" s="3">
        <v>0</v>
      </c>
      <c r="AO151" s="3">
        <v>0</v>
      </c>
      <c r="AP151" s="4">
        <f t="shared" si="145"/>
        <v>246672.44500000001</v>
      </c>
      <c r="AQ151" s="5">
        <v>58206.7</v>
      </c>
      <c r="AR151" s="3">
        <v>0</v>
      </c>
      <c r="AS151" s="3">
        <v>0</v>
      </c>
      <c r="AT151" s="3">
        <v>83890.59</v>
      </c>
      <c r="AU151" s="3">
        <v>0</v>
      </c>
      <c r="AV151" s="3">
        <v>0</v>
      </c>
      <c r="AW151" s="3">
        <v>33976.44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4">
        <f t="shared" si="146"/>
        <v>176073.72999999998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4">
        <f t="shared" si="147"/>
        <v>0</v>
      </c>
    </row>
    <row r="152" spans="1:68" x14ac:dyDescent="0.25">
      <c r="A152" t="s">
        <v>186</v>
      </c>
      <c r="D152" s="3">
        <v>0</v>
      </c>
      <c r="E152" s="3">
        <v>0</v>
      </c>
      <c r="F152" s="3">
        <v>0</v>
      </c>
      <c r="G152" s="3">
        <v>8576.8897199999992</v>
      </c>
      <c r="H152" s="3">
        <v>0</v>
      </c>
      <c r="I152" s="3">
        <v>0</v>
      </c>
      <c r="J152" s="3">
        <v>11129.12104</v>
      </c>
      <c r="K152" s="3">
        <v>0</v>
      </c>
      <c r="L152" s="3">
        <v>0</v>
      </c>
      <c r="M152" s="3">
        <v>10000.205</v>
      </c>
      <c r="N152" s="3">
        <v>0</v>
      </c>
      <c r="O152" s="3">
        <v>0</v>
      </c>
      <c r="P152" s="4">
        <f t="shared" si="143"/>
        <v>29706.215759999999</v>
      </c>
      <c r="Q152" s="3">
        <v>21940.76208</v>
      </c>
      <c r="R152" s="3">
        <v>0</v>
      </c>
      <c r="S152" s="3">
        <v>0</v>
      </c>
      <c r="T152" s="3">
        <v>14099.803040000001</v>
      </c>
      <c r="U152" s="3">
        <v>0</v>
      </c>
      <c r="V152" s="3">
        <v>0</v>
      </c>
      <c r="W152" s="3">
        <v>17230.369159999998</v>
      </c>
      <c r="X152" s="3">
        <v>0</v>
      </c>
      <c r="Y152" s="3">
        <v>0</v>
      </c>
      <c r="Z152" s="3">
        <v>12129.40648</v>
      </c>
      <c r="AA152" s="3">
        <v>0</v>
      </c>
      <c r="AB152" s="3">
        <v>0</v>
      </c>
      <c r="AC152" s="4">
        <f t="shared" si="144"/>
        <v>65400.340759999999</v>
      </c>
      <c r="AD152" s="3">
        <v>16893.16704</v>
      </c>
      <c r="AE152" s="3">
        <v>0</v>
      </c>
      <c r="AF152" s="3">
        <v>0</v>
      </c>
      <c r="AG152" s="3">
        <v>13040.78656</v>
      </c>
      <c r="AH152" s="3">
        <v>0</v>
      </c>
      <c r="AI152" s="3">
        <v>0</v>
      </c>
      <c r="AJ152" s="3">
        <v>16625.128000000001</v>
      </c>
      <c r="AK152" s="3">
        <v>0</v>
      </c>
      <c r="AL152" s="3">
        <v>0</v>
      </c>
      <c r="AM152" s="3">
        <v>10442.817160000001</v>
      </c>
      <c r="AN152" s="3">
        <v>0</v>
      </c>
      <c r="AO152" s="3">
        <v>0</v>
      </c>
      <c r="AP152" s="4">
        <f t="shared" si="145"/>
        <v>57001.898760000004</v>
      </c>
      <c r="AQ152" s="5">
        <v>25016.957320000001</v>
      </c>
      <c r="AR152" s="3">
        <v>0</v>
      </c>
      <c r="AS152" s="3">
        <v>0</v>
      </c>
      <c r="AT152" s="3">
        <v>12424.11204</v>
      </c>
      <c r="AU152" s="3">
        <v>0</v>
      </c>
      <c r="AV152" s="3">
        <v>0</v>
      </c>
      <c r="AW152" s="3">
        <v>6513.7153600000001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4">
        <f t="shared" si="146"/>
        <v>43954.784720000003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4">
        <f t="shared" si="147"/>
        <v>0</v>
      </c>
    </row>
    <row r="153" spans="1:68" x14ac:dyDescent="0.25">
      <c r="A153" t="s">
        <v>187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4">
        <f t="shared" si="143"/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4">
        <f t="shared" si="144"/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4">
        <f t="shared" si="145"/>
        <v>0</v>
      </c>
      <c r="AQ153" s="5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4">
        <f t="shared" si="146"/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4">
        <f t="shared" si="147"/>
        <v>0</v>
      </c>
    </row>
    <row r="154" spans="1:68" x14ac:dyDescent="0.25">
      <c r="A154" t="s">
        <v>188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4">
        <f t="shared" si="143"/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4">
        <f t="shared" si="144"/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4">
        <f t="shared" si="145"/>
        <v>0</v>
      </c>
      <c r="AQ154" s="5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4">
        <f t="shared" si="146"/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4">
        <f t="shared" si="147"/>
        <v>0</v>
      </c>
    </row>
    <row r="155" spans="1:68" s="23" customFormat="1" x14ac:dyDescent="0.25">
      <c r="A155" s="104" t="s">
        <v>189</v>
      </c>
      <c r="B155" s="105"/>
      <c r="C155" s="104"/>
      <c r="D155" s="106">
        <v>0</v>
      </c>
      <c r="E155" s="106">
        <v>0</v>
      </c>
      <c r="F155" s="106">
        <v>0</v>
      </c>
      <c r="G155" s="106">
        <v>4122.8999999999996</v>
      </c>
      <c r="H155" s="106">
        <v>0</v>
      </c>
      <c r="I155" s="106">
        <v>0</v>
      </c>
      <c r="J155" s="106">
        <v>7087.68</v>
      </c>
      <c r="K155" s="106">
        <v>0</v>
      </c>
      <c r="L155" s="106">
        <v>0</v>
      </c>
      <c r="M155" s="106">
        <v>5887.01</v>
      </c>
      <c r="N155" s="106">
        <v>0</v>
      </c>
      <c r="O155" s="106">
        <v>0</v>
      </c>
      <c r="P155" s="58">
        <f t="shared" si="143"/>
        <v>17097.59</v>
      </c>
      <c r="Q155" s="106">
        <v>10827.6</v>
      </c>
      <c r="R155" s="106">
        <v>0</v>
      </c>
      <c r="S155" s="106">
        <v>0</v>
      </c>
      <c r="T155" s="106">
        <v>8968.3700000000008</v>
      </c>
      <c r="U155" s="106">
        <v>0</v>
      </c>
      <c r="V155" s="106">
        <v>0</v>
      </c>
      <c r="W155" s="106">
        <v>7348.39</v>
      </c>
      <c r="X155" s="106">
        <v>0</v>
      </c>
      <c r="Y155" s="106">
        <v>0</v>
      </c>
      <c r="Z155" s="106">
        <v>8013.69</v>
      </c>
      <c r="AA155" s="106">
        <v>0</v>
      </c>
      <c r="AB155" s="106">
        <v>0</v>
      </c>
      <c r="AC155" s="58">
        <f t="shared" si="144"/>
        <v>35158.050000000003</v>
      </c>
      <c r="AD155" s="106">
        <v>13450.19</v>
      </c>
      <c r="AE155" s="106">
        <v>0</v>
      </c>
      <c r="AF155" s="106">
        <v>0</v>
      </c>
      <c r="AG155" s="106">
        <v>6917.97</v>
      </c>
      <c r="AH155" s="106">
        <v>0</v>
      </c>
      <c r="AI155" s="106">
        <v>0</v>
      </c>
      <c r="AJ155" s="106">
        <v>13621.99</v>
      </c>
      <c r="AK155" s="106">
        <v>0</v>
      </c>
      <c r="AL155" s="106">
        <v>0</v>
      </c>
      <c r="AM155" s="106">
        <v>4216.12</v>
      </c>
      <c r="AN155" s="106">
        <v>0</v>
      </c>
      <c r="AO155" s="106">
        <v>0</v>
      </c>
      <c r="AP155" s="58">
        <f t="shared" si="145"/>
        <v>38206.270000000004</v>
      </c>
      <c r="AQ155" s="107">
        <v>6687.92</v>
      </c>
      <c r="AR155" s="106">
        <v>0</v>
      </c>
      <c r="AS155" s="106">
        <v>0</v>
      </c>
      <c r="AT155" s="106">
        <v>12467.816339999999</v>
      </c>
      <c r="AU155" s="106">
        <v>0</v>
      </c>
      <c r="AV155" s="106">
        <v>0</v>
      </c>
      <c r="AW155" s="106">
        <v>4822.3291900000004</v>
      </c>
      <c r="AX155" s="106">
        <v>0</v>
      </c>
      <c r="AY155" s="106">
        <v>0</v>
      </c>
      <c r="AZ155" s="106">
        <v>0</v>
      </c>
      <c r="BA155" s="106">
        <v>0</v>
      </c>
      <c r="BB155" s="106">
        <v>0</v>
      </c>
      <c r="BC155" s="58">
        <f t="shared" si="146"/>
        <v>23978.06553</v>
      </c>
      <c r="BD155" s="106">
        <v>0</v>
      </c>
      <c r="BE155" s="106">
        <v>0</v>
      </c>
      <c r="BF155" s="106">
        <v>0</v>
      </c>
      <c r="BG155" s="106">
        <v>0</v>
      </c>
      <c r="BH155" s="106">
        <v>0</v>
      </c>
      <c r="BI155" s="106">
        <v>0</v>
      </c>
      <c r="BJ155" s="106">
        <v>0</v>
      </c>
      <c r="BK155" s="106">
        <v>0</v>
      </c>
      <c r="BL155" s="106">
        <v>0</v>
      </c>
      <c r="BM155" s="106">
        <v>0</v>
      </c>
      <c r="BN155" s="106">
        <v>0</v>
      </c>
      <c r="BO155" s="106">
        <v>0</v>
      </c>
      <c r="BP155" s="58">
        <f t="shared" si="147"/>
        <v>0</v>
      </c>
    </row>
    <row r="157" spans="1:68" s="22" customFormat="1" x14ac:dyDescent="0.25">
      <c r="A157" s="22" t="s">
        <v>190</v>
      </c>
      <c r="B157" s="96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8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8"/>
      <c r="AD157" s="97"/>
      <c r="AE157" s="97"/>
      <c r="AF157" s="97"/>
      <c r="AG157" s="97"/>
      <c r="AH157" s="97"/>
      <c r="AI157" s="97"/>
      <c r="AJ157" s="97"/>
      <c r="AK157" s="97"/>
      <c r="AL157" s="97"/>
      <c r="AM157" s="97"/>
      <c r="AN157" s="97"/>
      <c r="AO157" s="97"/>
      <c r="AP157" s="98"/>
      <c r="AQ157" s="97"/>
      <c r="AR157" s="97"/>
      <c r="AS157" s="97"/>
      <c r="AT157" s="97"/>
      <c r="AU157" s="97"/>
      <c r="AV157" s="97"/>
      <c r="AW157" s="97"/>
      <c r="AX157" s="97"/>
      <c r="AY157" s="97"/>
      <c r="AZ157" s="97"/>
      <c r="BA157" s="97"/>
      <c r="BB157" s="97"/>
      <c r="BC157" s="98"/>
      <c r="BD157" s="97"/>
      <c r="BE157" s="97"/>
      <c r="BF157" s="97"/>
      <c r="BG157" s="97"/>
      <c r="BH157" s="97"/>
      <c r="BI157" s="97"/>
      <c r="BJ157" s="97"/>
      <c r="BK157" s="97"/>
      <c r="BL157" s="97"/>
      <c r="BM157" s="97"/>
      <c r="BN157" s="97"/>
      <c r="BO157" s="97"/>
      <c r="BP157" s="98"/>
    </row>
    <row r="158" spans="1:68" s="24" customFormat="1" x14ac:dyDescent="0.25">
      <c r="A158" s="99" t="s">
        <v>181</v>
      </c>
      <c r="B158" s="100"/>
      <c r="C158" s="99"/>
      <c r="D158" s="101">
        <v>0</v>
      </c>
      <c r="E158" s="101">
        <v>1823.09</v>
      </c>
      <c r="F158" s="101">
        <v>3944</v>
      </c>
      <c r="G158" s="101">
        <v>3357.11</v>
      </c>
      <c r="H158" s="101">
        <v>1180.55</v>
      </c>
      <c r="I158" s="101">
        <v>4688.24</v>
      </c>
      <c r="J158" s="101">
        <v>8</v>
      </c>
      <c r="K158" s="101">
        <v>5057.58</v>
      </c>
      <c r="L158" s="101">
        <v>2738.86</v>
      </c>
      <c r="M158" s="101">
        <v>6372.71</v>
      </c>
      <c r="N158" s="101">
        <v>5350.6</v>
      </c>
      <c r="O158" s="101">
        <v>3419.61</v>
      </c>
      <c r="P158" s="102">
        <f t="shared" ref="P158:P166" si="148">SUM(D158:O158)</f>
        <v>37940.35</v>
      </c>
      <c r="Q158" s="101">
        <v>18.5</v>
      </c>
      <c r="R158" s="101">
        <v>8374.48</v>
      </c>
      <c r="S158" s="101">
        <v>3347.52</v>
      </c>
      <c r="T158" s="101">
        <v>4090.31</v>
      </c>
      <c r="U158" s="101">
        <v>963.34</v>
      </c>
      <c r="V158" s="101">
        <v>5673.85</v>
      </c>
      <c r="W158" s="101">
        <v>4106.6499999999996</v>
      </c>
      <c r="X158" s="101">
        <v>4890.95</v>
      </c>
      <c r="Y158" s="101">
        <v>1345.15</v>
      </c>
      <c r="Z158" s="101">
        <v>8523.07</v>
      </c>
      <c r="AA158" s="101">
        <v>2074.4699999999998</v>
      </c>
      <c r="AB158" s="101">
        <v>6146.09</v>
      </c>
      <c r="AC158" s="102">
        <f t="shared" ref="AC158:AC166" si="149">SUM(Q158:AB158)</f>
        <v>49554.380000000005</v>
      </c>
      <c r="AD158" s="101">
        <v>2125.39</v>
      </c>
      <c r="AE158" s="101">
        <v>4408.8900000000003</v>
      </c>
      <c r="AF158" s="101">
        <v>2914.44</v>
      </c>
      <c r="AG158" s="101">
        <v>7908.74</v>
      </c>
      <c r="AH158" s="101">
        <v>1425.71</v>
      </c>
      <c r="AI158" s="101">
        <v>7568.19</v>
      </c>
      <c r="AJ158" s="101">
        <v>1838.99</v>
      </c>
      <c r="AK158" s="101">
        <v>4381.34</v>
      </c>
      <c r="AL158" s="101">
        <v>19.170000000000002</v>
      </c>
      <c r="AM158" s="101">
        <v>1727.09</v>
      </c>
      <c r="AN158" s="101">
        <v>4754.79</v>
      </c>
      <c r="AO158" s="101">
        <v>5159.46</v>
      </c>
      <c r="AP158" s="102">
        <f t="shared" ref="AP158:AP166" si="150">SUM(AD158:AO158)</f>
        <v>44232.2</v>
      </c>
      <c r="AQ158" s="103">
        <v>10061.879999999999</v>
      </c>
      <c r="AR158" s="101">
        <v>4746.4740000000002</v>
      </c>
      <c r="AS158" s="101">
        <v>1969.7639999999999</v>
      </c>
      <c r="AT158" s="101">
        <v>6795.2879999999996</v>
      </c>
      <c r="AU158" s="101">
        <v>0</v>
      </c>
      <c r="AV158" s="101">
        <v>0</v>
      </c>
      <c r="AW158" s="101">
        <v>0</v>
      </c>
      <c r="AX158" s="101">
        <v>0</v>
      </c>
      <c r="AY158" s="101">
        <v>0</v>
      </c>
      <c r="AZ158" s="101">
        <v>0</v>
      </c>
      <c r="BA158" s="101">
        <v>0</v>
      </c>
      <c r="BB158" s="101">
        <v>0</v>
      </c>
      <c r="BC158" s="102">
        <f t="shared" ref="BC158:BC166" si="151">SUM(AQ158:BB158)</f>
        <v>23573.405999999999</v>
      </c>
      <c r="BD158" s="101">
        <v>0</v>
      </c>
      <c r="BE158" s="101">
        <v>0</v>
      </c>
      <c r="BF158" s="101">
        <v>0</v>
      </c>
      <c r="BG158" s="101">
        <v>0</v>
      </c>
      <c r="BH158" s="101">
        <v>0</v>
      </c>
      <c r="BI158" s="101">
        <v>0</v>
      </c>
      <c r="BJ158" s="101">
        <v>0</v>
      </c>
      <c r="BK158" s="101">
        <v>0</v>
      </c>
      <c r="BL158" s="101">
        <v>0</v>
      </c>
      <c r="BM158" s="101">
        <v>0</v>
      </c>
      <c r="BN158" s="101">
        <v>0</v>
      </c>
      <c r="BO158" s="101">
        <v>0</v>
      </c>
      <c r="BP158" s="102">
        <f t="shared" ref="BP158:BP166" si="152">SUM(BD158:BO158)</f>
        <v>0</v>
      </c>
    </row>
    <row r="159" spans="1:68" x14ac:dyDescent="0.25">
      <c r="A159" t="s">
        <v>182</v>
      </c>
      <c r="D159" s="3">
        <v>0</v>
      </c>
      <c r="E159" s="3">
        <v>-174.07</v>
      </c>
      <c r="F159" s="3">
        <v>-354.81</v>
      </c>
      <c r="G159" s="3">
        <v>-114.37</v>
      </c>
      <c r="H159" s="3">
        <v>-73.98</v>
      </c>
      <c r="I159" s="3">
        <v>-33.57</v>
      </c>
      <c r="J159" s="3">
        <v>-105.91</v>
      </c>
      <c r="K159" s="3">
        <v>-235.59</v>
      </c>
      <c r="L159" s="3">
        <v>-195.18</v>
      </c>
      <c r="M159" s="3">
        <v>-154.78</v>
      </c>
      <c r="N159" s="3">
        <v>-521.15</v>
      </c>
      <c r="O159" s="3">
        <v>-373.42</v>
      </c>
      <c r="P159" s="4">
        <f t="shared" si="148"/>
        <v>-2336.83</v>
      </c>
      <c r="Q159" s="3">
        <v>-229.25</v>
      </c>
      <c r="R159" s="3">
        <v>-407.78</v>
      </c>
      <c r="S159" s="3">
        <v>-300.97000000000003</v>
      </c>
      <c r="T159" s="3">
        <v>-448.07</v>
      </c>
      <c r="U159" s="3">
        <v>-481.96</v>
      </c>
      <c r="V159" s="3">
        <v>-301.76</v>
      </c>
      <c r="W159" s="3">
        <v>-448.82</v>
      </c>
      <c r="X159" s="3">
        <v>-15.3</v>
      </c>
      <c r="Y159" s="3">
        <v>-145.97999999999999</v>
      </c>
      <c r="Z159" s="3">
        <v>-537.79</v>
      </c>
      <c r="AA159" s="3">
        <v>-145.31</v>
      </c>
      <c r="AB159" s="3">
        <v>-243.41</v>
      </c>
      <c r="AC159" s="4">
        <f t="shared" si="149"/>
        <v>-3706.4</v>
      </c>
      <c r="AD159" s="3">
        <v>-465.34</v>
      </c>
      <c r="AE159" s="3">
        <v>-72.88</v>
      </c>
      <c r="AF159" s="3">
        <v>-317.60000000000002</v>
      </c>
      <c r="AG159" s="3">
        <v>-466.11</v>
      </c>
      <c r="AH159" s="3">
        <v>-73.650000000000006</v>
      </c>
      <c r="AI159" s="3">
        <v>-390.49</v>
      </c>
      <c r="AJ159" s="3">
        <v>-201.36</v>
      </c>
      <c r="AK159" s="3">
        <v>-53.62</v>
      </c>
      <c r="AL159" s="3">
        <v>-200.69</v>
      </c>
      <c r="AM159" s="3">
        <v>-188.03</v>
      </c>
      <c r="AN159" s="3">
        <v>-520.72</v>
      </c>
      <c r="AO159" s="3">
        <v>-396.92</v>
      </c>
      <c r="AP159" s="4">
        <f t="shared" si="150"/>
        <v>-3347.4100000000008</v>
      </c>
      <c r="AQ159" s="5">
        <v>-262.22962000000001</v>
      </c>
      <c r="AR159" s="3">
        <v>-521.48685999999998</v>
      </c>
      <c r="AS159" s="3">
        <v>-129.02314000000001</v>
      </c>
      <c r="AT159" s="3">
        <v>-335.10786999999999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4">
        <f t="shared" si="151"/>
        <v>-1247.8474900000001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4">
        <f t="shared" si="152"/>
        <v>0</v>
      </c>
    </row>
    <row r="160" spans="1:68" x14ac:dyDescent="0.25">
      <c r="A160" t="s">
        <v>183</v>
      </c>
      <c r="D160" s="3">
        <v>0</v>
      </c>
      <c r="E160" s="3">
        <v>1649.02</v>
      </c>
      <c r="F160" s="3">
        <v>3589.19</v>
      </c>
      <c r="G160" s="3">
        <v>3242.74</v>
      </c>
      <c r="H160" s="3">
        <v>1106.57</v>
      </c>
      <c r="I160" s="3">
        <v>4654.67</v>
      </c>
      <c r="J160" s="3">
        <v>-97.91</v>
      </c>
      <c r="K160" s="3">
        <v>4821.99</v>
      </c>
      <c r="L160" s="3">
        <v>2543.6799999999998</v>
      </c>
      <c r="M160" s="3">
        <v>6217.93</v>
      </c>
      <c r="N160" s="3">
        <v>4829.45</v>
      </c>
      <c r="O160" s="3">
        <v>3046.19</v>
      </c>
      <c r="P160" s="4">
        <f t="shared" si="148"/>
        <v>35603.520000000004</v>
      </c>
      <c r="Q160" s="3">
        <v>-210.75</v>
      </c>
      <c r="R160" s="3">
        <v>7966.7</v>
      </c>
      <c r="S160" s="3">
        <v>3046.55</v>
      </c>
      <c r="T160" s="3">
        <v>3642.24</v>
      </c>
      <c r="U160" s="3">
        <v>481.38</v>
      </c>
      <c r="V160" s="3">
        <v>5372.09</v>
      </c>
      <c r="W160" s="3">
        <v>3657.83</v>
      </c>
      <c r="X160" s="3">
        <v>4875.6499999999996</v>
      </c>
      <c r="Y160" s="3">
        <v>1199.17</v>
      </c>
      <c r="Z160" s="3">
        <v>7985.28</v>
      </c>
      <c r="AA160" s="3">
        <v>1929.16</v>
      </c>
      <c r="AB160" s="3">
        <v>5902.68</v>
      </c>
      <c r="AC160" s="4">
        <f t="shared" si="149"/>
        <v>45847.98</v>
      </c>
      <c r="AD160" s="3">
        <v>1660.05</v>
      </c>
      <c r="AE160" s="3">
        <v>4336.01</v>
      </c>
      <c r="AF160" s="3">
        <v>2596.84</v>
      </c>
      <c r="AG160" s="3">
        <v>7442.63</v>
      </c>
      <c r="AH160" s="3">
        <v>1352.06</v>
      </c>
      <c r="AI160" s="3">
        <v>7177.7</v>
      </c>
      <c r="AJ160" s="3">
        <v>1637.63</v>
      </c>
      <c r="AK160" s="3">
        <v>4327.72</v>
      </c>
      <c r="AL160" s="3">
        <v>-181.52</v>
      </c>
      <c r="AM160" s="3">
        <v>1539.06</v>
      </c>
      <c r="AN160" s="3">
        <v>4234.07</v>
      </c>
      <c r="AO160" s="3">
        <v>4762.54</v>
      </c>
      <c r="AP160" s="4">
        <f t="shared" si="150"/>
        <v>40884.790000000008</v>
      </c>
      <c r="AQ160" s="5">
        <v>9799.6503799999991</v>
      </c>
      <c r="AR160" s="3">
        <v>4224.9871400000002</v>
      </c>
      <c r="AS160" s="3">
        <v>1840.7408600000001</v>
      </c>
      <c r="AT160" s="3">
        <v>6460.1801299999997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4">
        <f t="shared" si="151"/>
        <v>22325.558509999999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4">
        <f t="shared" si="152"/>
        <v>0</v>
      </c>
    </row>
    <row r="161" spans="1:68" x14ac:dyDescent="0.25">
      <c r="A161" t="s">
        <v>184</v>
      </c>
      <c r="D161" s="3">
        <v>0</v>
      </c>
      <c r="E161" s="3">
        <v>-841.67</v>
      </c>
      <c r="F161" s="3">
        <v>-273.62</v>
      </c>
      <c r="G161" s="3">
        <v>-711.24</v>
      </c>
      <c r="H161" s="3">
        <v>-164.56</v>
      </c>
      <c r="I161" s="3">
        <v>-1040.48</v>
      </c>
      <c r="J161" s="3">
        <v>-315.73</v>
      </c>
      <c r="K161" s="3">
        <v>-990.59</v>
      </c>
      <c r="L161" s="3">
        <v>-74.44</v>
      </c>
      <c r="M161" s="3">
        <v>-1324.17</v>
      </c>
      <c r="N161" s="3">
        <v>-977.51</v>
      </c>
      <c r="O161" s="3">
        <v>-964.3</v>
      </c>
      <c r="P161" s="4">
        <f t="shared" si="148"/>
        <v>-7678.3099999999995</v>
      </c>
      <c r="Q161" s="3">
        <v>-390.13</v>
      </c>
      <c r="R161" s="3">
        <v>-1347.81</v>
      </c>
      <c r="S161" s="3">
        <v>-96.2</v>
      </c>
      <c r="T161" s="3">
        <v>-1204.22</v>
      </c>
      <c r="U161" s="3">
        <v>-832.65</v>
      </c>
      <c r="V161" s="3">
        <v>-110.43</v>
      </c>
      <c r="W161" s="3">
        <v>-345.59</v>
      </c>
      <c r="X161" s="3">
        <v>-1312.7</v>
      </c>
      <c r="Y161" s="3">
        <v>-60.67</v>
      </c>
      <c r="Z161" s="3">
        <v>-1127.55</v>
      </c>
      <c r="AA161" s="3">
        <v>-224.69</v>
      </c>
      <c r="AB161" s="3">
        <v>-1014.7</v>
      </c>
      <c r="AC161" s="4">
        <f t="shared" si="149"/>
        <v>-8067.3399999999992</v>
      </c>
      <c r="AD161" s="3">
        <v>-1326.94</v>
      </c>
      <c r="AE161" s="3">
        <v>-46.72</v>
      </c>
      <c r="AF161" s="3">
        <v>-301.27</v>
      </c>
      <c r="AG161" s="3">
        <v>-1264.96</v>
      </c>
      <c r="AH161" s="3">
        <v>-966.17</v>
      </c>
      <c r="AI161" s="3">
        <v>-119.25</v>
      </c>
      <c r="AJ161" s="3">
        <v>-358.21</v>
      </c>
      <c r="AK161" s="3">
        <v>-942.28</v>
      </c>
      <c r="AL161" s="3">
        <v>-267.22000000000003</v>
      </c>
      <c r="AM161" s="3">
        <v>-1206.8800000000001</v>
      </c>
      <c r="AN161" s="3">
        <v>-163.85</v>
      </c>
      <c r="AO161" s="3">
        <v>-2477</v>
      </c>
      <c r="AP161" s="4">
        <f t="shared" si="150"/>
        <v>-9440.75</v>
      </c>
      <c r="AQ161" s="5">
        <v>-1728.9468400000001</v>
      </c>
      <c r="AR161" s="3">
        <v>-1188.8733199999999</v>
      </c>
      <c r="AS161" s="3">
        <v>-479.74187999999998</v>
      </c>
      <c r="AT161" s="3">
        <v>-1637.85094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4">
        <f t="shared" si="151"/>
        <v>-5035.4129800000001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4">
        <f t="shared" si="152"/>
        <v>0</v>
      </c>
    </row>
    <row r="162" spans="1:68" x14ac:dyDescent="0.25">
      <c r="A162" t="s">
        <v>185</v>
      </c>
      <c r="D162" s="3">
        <v>0</v>
      </c>
      <c r="E162" s="3">
        <v>9115.4500000000007</v>
      </c>
      <c r="F162" s="3">
        <v>19720</v>
      </c>
      <c r="G162" s="3">
        <v>16785.560000000001</v>
      </c>
      <c r="H162" s="3">
        <v>5902.75</v>
      </c>
      <c r="I162" s="3">
        <v>23441.22</v>
      </c>
      <c r="J162" s="3">
        <v>40</v>
      </c>
      <c r="K162" s="3">
        <v>25287.9</v>
      </c>
      <c r="L162" s="3">
        <v>13694.3</v>
      </c>
      <c r="M162" s="3">
        <v>31863.56</v>
      </c>
      <c r="N162" s="3">
        <v>26753.01</v>
      </c>
      <c r="O162" s="3">
        <v>17098.09</v>
      </c>
      <c r="P162" s="4">
        <f t="shared" si="148"/>
        <v>189701.84000000003</v>
      </c>
      <c r="Q162" s="3">
        <v>92.5</v>
      </c>
      <c r="R162" s="3">
        <v>41872.370000000003</v>
      </c>
      <c r="S162" s="3">
        <v>16737.57</v>
      </c>
      <c r="T162" s="3">
        <v>20451.53</v>
      </c>
      <c r="U162" s="3">
        <v>4816.7</v>
      </c>
      <c r="V162" s="3">
        <v>28369.24</v>
      </c>
      <c r="W162" s="3">
        <v>20533.27</v>
      </c>
      <c r="X162" s="3">
        <v>24454.720000000001</v>
      </c>
      <c r="Y162" s="3">
        <v>6725.76</v>
      </c>
      <c r="Z162" s="3">
        <v>42615.35</v>
      </c>
      <c r="AA162" s="3">
        <v>10372.370000000001</v>
      </c>
      <c r="AB162" s="3">
        <v>30730.44</v>
      </c>
      <c r="AC162" s="4">
        <f t="shared" si="149"/>
        <v>247771.82</v>
      </c>
      <c r="AD162" s="3">
        <v>10626.965</v>
      </c>
      <c r="AE162" s="3">
        <v>22044.45</v>
      </c>
      <c r="AF162" s="3">
        <v>14572.18</v>
      </c>
      <c r="AG162" s="3">
        <v>39543.67</v>
      </c>
      <c r="AH162" s="3">
        <v>7128.56</v>
      </c>
      <c r="AI162" s="3">
        <v>37840.97</v>
      </c>
      <c r="AJ162" s="3">
        <v>9194.9599999999991</v>
      </c>
      <c r="AK162" s="3">
        <v>21906.7</v>
      </c>
      <c r="AL162" s="3">
        <v>95.83</v>
      </c>
      <c r="AM162" s="3">
        <v>8635.41</v>
      </c>
      <c r="AN162" s="3">
        <v>23773.97</v>
      </c>
      <c r="AO162" s="3">
        <v>25797.32</v>
      </c>
      <c r="AP162" s="4">
        <f t="shared" si="150"/>
        <v>221160.98499999999</v>
      </c>
      <c r="AQ162" s="5">
        <v>50309.4</v>
      </c>
      <c r="AR162" s="3">
        <v>23732.37</v>
      </c>
      <c r="AS162" s="3">
        <v>9848.82</v>
      </c>
      <c r="AT162" s="3">
        <v>33976.44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4">
        <f t="shared" si="151"/>
        <v>117867.03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4">
        <f t="shared" si="152"/>
        <v>0</v>
      </c>
    </row>
    <row r="163" spans="1:68" x14ac:dyDescent="0.25">
      <c r="A163" t="s">
        <v>186</v>
      </c>
      <c r="D163" s="3">
        <v>0</v>
      </c>
      <c r="E163" s="3">
        <v>5263.7196000000004</v>
      </c>
      <c r="F163" s="3">
        <v>3313.1701200000002</v>
      </c>
      <c r="G163" s="3">
        <v>4288.1531599999998</v>
      </c>
      <c r="H163" s="3">
        <v>1338.6836800000001</v>
      </c>
      <c r="I163" s="3">
        <v>5502.2842000000001</v>
      </c>
      <c r="J163" s="3">
        <v>2225.15128</v>
      </c>
      <c r="K163" s="3">
        <v>6285.9116000000004</v>
      </c>
      <c r="L163" s="3">
        <v>1489.14212</v>
      </c>
      <c r="M163" s="3">
        <v>7521.7426400000004</v>
      </c>
      <c r="N163" s="3">
        <v>7539.3889600000002</v>
      </c>
      <c r="O163" s="3">
        <v>6879.6304799999998</v>
      </c>
      <c r="P163" s="4">
        <f t="shared" si="148"/>
        <v>51646.97784</v>
      </c>
      <c r="Q163" s="3">
        <v>3161.9583200000002</v>
      </c>
      <c r="R163" s="3">
        <v>8849.9057599999996</v>
      </c>
      <c r="S163" s="3">
        <v>2087.93896</v>
      </c>
      <c r="T163" s="3">
        <v>8313.3907999999992</v>
      </c>
      <c r="U163" s="3">
        <v>6708.1083200000003</v>
      </c>
      <c r="V163" s="3">
        <v>2208.8700399999998</v>
      </c>
      <c r="W163" s="3">
        <v>4170.1218799999997</v>
      </c>
      <c r="X163" s="3">
        <v>6789.0271599999996</v>
      </c>
      <c r="Y163" s="3">
        <v>1170.2574400000001</v>
      </c>
      <c r="Z163" s="3">
        <v>8433.6193999999996</v>
      </c>
      <c r="AA163" s="3">
        <v>2006.0308</v>
      </c>
      <c r="AB163" s="3">
        <v>6453.5168400000002</v>
      </c>
      <c r="AC163" s="4">
        <f t="shared" si="149"/>
        <v>60352.745720000006</v>
      </c>
      <c r="AD163" s="3">
        <v>9154.4178800000009</v>
      </c>
      <c r="AE163" s="3">
        <v>741.00927999999999</v>
      </c>
      <c r="AF163" s="3">
        <v>3145.3593999999998</v>
      </c>
      <c r="AG163" s="3">
        <v>8712.3389599999991</v>
      </c>
      <c r="AH163" s="3">
        <v>5306.1403600000003</v>
      </c>
      <c r="AI163" s="3">
        <v>2606.6486799999998</v>
      </c>
      <c r="AJ163" s="3">
        <v>2851.8007600000001</v>
      </c>
      <c r="AK163" s="3">
        <v>5178.4622799999997</v>
      </c>
      <c r="AL163" s="3">
        <v>2412.5541199999998</v>
      </c>
      <c r="AM163" s="3">
        <v>7054.53352</v>
      </c>
      <c r="AN163" s="3">
        <v>3532.8312000000001</v>
      </c>
      <c r="AO163" s="3">
        <v>14429.5926</v>
      </c>
      <c r="AP163" s="4">
        <f t="shared" si="150"/>
        <v>65125.689039999997</v>
      </c>
      <c r="AQ163" s="5">
        <v>7333.58608</v>
      </c>
      <c r="AR163" s="3">
        <v>3336.93228</v>
      </c>
      <c r="AS163" s="3">
        <v>1753.5936799999999</v>
      </c>
      <c r="AT163" s="3">
        <v>6513.7153600000001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4">
        <f t="shared" si="151"/>
        <v>18937.827400000002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4">
        <f t="shared" si="152"/>
        <v>0</v>
      </c>
    </row>
    <row r="164" spans="1:68" x14ac:dyDescent="0.25">
      <c r="A164" t="s">
        <v>187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4">
        <f t="shared" si="148"/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4">
        <f t="shared" si="149"/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4">
        <f t="shared" si="150"/>
        <v>0</v>
      </c>
      <c r="AQ164" s="5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4">
        <f t="shared" si="151"/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4">
        <f t="shared" si="152"/>
        <v>0</v>
      </c>
    </row>
    <row r="165" spans="1:68" x14ac:dyDescent="0.25">
      <c r="A165" t="s">
        <v>188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4">
        <f t="shared" si="148"/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4">
        <f t="shared" si="149"/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4">
        <f t="shared" si="150"/>
        <v>0</v>
      </c>
      <c r="AQ165" s="5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4">
        <f t="shared" si="151"/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4">
        <f t="shared" si="152"/>
        <v>0</v>
      </c>
    </row>
    <row r="166" spans="1:68" s="23" customFormat="1" x14ac:dyDescent="0.25">
      <c r="A166" s="104" t="s">
        <v>189</v>
      </c>
      <c r="B166" s="105"/>
      <c r="C166" s="104"/>
      <c r="D166" s="106">
        <v>0</v>
      </c>
      <c r="E166" s="106">
        <v>807.35</v>
      </c>
      <c r="F166" s="106">
        <v>3315.57</v>
      </c>
      <c r="G166" s="106">
        <v>2531.5</v>
      </c>
      <c r="H166" s="106">
        <v>942.01</v>
      </c>
      <c r="I166" s="106">
        <v>3614.19</v>
      </c>
      <c r="J166" s="106">
        <v>-413.64</v>
      </c>
      <c r="K166" s="106">
        <v>3831.4</v>
      </c>
      <c r="L166" s="106">
        <v>2469.2399999999998</v>
      </c>
      <c r="M166" s="106">
        <v>4893.76</v>
      </c>
      <c r="N166" s="106">
        <v>3851.94</v>
      </c>
      <c r="O166" s="106">
        <v>2081.89</v>
      </c>
      <c r="P166" s="58">
        <f t="shared" si="148"/>
        <v>27925.210000000003</v>
      </c>
      <c r="Q166" s="106">
        <v>-600.88</v>
      </c>
      <c r="R166" s="106">
        <v>6618.89</v>
      </c>
      <c r="S166" s="106">
        <v>2950.35</v>
      </c>
      <c r="T166" s="106">
        <v>2438.02</v>
      </c>
      <c r="U166" s="106">
        <v>-351.27</v>
      </c>
      <c r="V166" s="106">
        <v>5261.66</v>
      </c>
      <c r="W166" s="106">
        <v>3312.24</v>
      </c>
      <c r="X166" s="106">
        <v>3562.95</v>
      </c>
      <c r="Y166" s="106">
        <v>1138.5</v>
      </c>
      <c r="Z166" s="106">
        <v>6857.73</v>
      </c>
      <c r="AA166" s="106">
        <v>1704.47</v>
      </c>
      <c r="AB166" s="106">
        <v>4887.9799999999996</v>
      </c>
      <c r="AC166" s="58">
        <f t="shared" si="149"/>
        <v>37780.639999999999</v>
      </c>
      <c r="AD166" s="106">
        <v>333.11</v>
      </c>
      <c r="AE166" s="106">
        <v>4289.29</v>
      </c>
      <c r="AF166" s="106">
        <v>2295.5700000000002</v>
      </c>
      <c r="AG166" s="106">
        <v>6177.67</v>
      </c>
      <c r="AH166" s="106">
        <v>385.89</v>
      </c>
      <c r="AI166" s="106">
        <v>7058.45</v>
      </c>
      <c r="AJ166" s="106">
        <v>1279.42</v>
      </c>
      <c r="AK166" s="106">
        <v>3385.44</v>
      </c>
      <c r="AL166" s="106">
        <v>-448.74</v>
      </c>
      <c r="AM166" s="106">
        <v>332.18</v>
      </c>
      <c r="AN166" s="106">
        <v>4070.22</v>
      </c>
      <c r="AO166" s="106">
        <v>2285.54</v>
      </c>
      <c r="AP166" s="58">
        <f t="shared" si="150"/>
        <v>31444.04</v>
      </c>
      <c r="AQ166" s="107">
        <v>8332.9331600000005</v>
      </c>
      <c r="AR166" s="106">
        <v>3557.60068</v>
      </c>
      <c r="AS166" s="106">
        <v>1490.0221200000001</v>
      </c>
      <c r="AT166" s="106">
        <v>5157.4370600000002</v>
      </c>
      <c r="AU166" s="106">
        <v>0</v>
      </c>
      <c r="AV166" s="106">
        <v>0</v>
      </c>
      <c r="AW166" s="106">
        <v>0</v>
      </c>
      <c r="AX166" s="106">
        <v>0</v>
      </c>
      <c r="AY166" s="106">
        <v>0</v>
      </c>
      <c r="AZ166" s="106">
        <v>0</v>
      </c>
      <c r="BA166" s="106">
        <v>0</v>
      </c>
      <c r="BB166" s="106">
        <v>0</v>
      </c>
      <c r="BC166" s="58">
        <f t="shared" si="151"/>
        <v>18537.993020000002</v>
      </c>
      <c r="BD166" s="106">
        <v>0</v>
      </c>
      <c r="BE166" s="106">
        <v>0</v>
      </c>
      <c r="BF166" s="106">
        <v>0</v>
      </c>
      <c r="BG166" s="106">
        <v>0</v>
      </c>
      <c r="BH166" s="106">
        <v>0</v>
      </c>
      <c r="BI166" s="106">
        <v>0</v>
      </c>
      <c r="BJ166" s="106">
        <v>0</v>
      </c>
      <c r="BK166" s="106">
        <v>0</v>
      </c>
      <c r="BL166" s="106">
        <v>0</v>
      </c>
      <c r="BM166" s="106">
        <v>0</v>
      </c>
      <c r="BN166" s="106">
        <v>0</v>
      </c>
      <c r="BO166" s="106">
        <v>0</v>
      </c>
      <c r="BP166" s="58">
        <f t="shared" si="152"/>
        <v>0</v>
      </c>
    </row>
    <row r="168" spans="1:68" s="25" customFormat="1" x14ac:dyDescent="0.25">
      <c r="A168" s="25" t="s">
        <v>191</v>
      </c>
      <c r="B168" s="108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10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10"/>
      <c r="AD168" s="109"/>
      <c r="AE168" s="109"/>
      <c r="AF168" s="109"/>
      <c r="AG168" s="109"/>
      <c r="AH168" s="109"/>
      <c r="AI168" s="109"/>
      <c r="AJ168" s="109"/>
      <c r="AK168" s="109"/>
      <c r="AL168" s="109"/>
      <c r="AM168" s="109"/>
      <c r="AN168" s="109"/>
      <c r="AO168" s="109"/>
      <c r="AP168" s="110"/>
      <c r="AQ168" s="109"/>
      <c r="AR168" s="109"/>
      <c r="AS168" s="109"/>
      <c r="AT168" s="109"/>
      <c r="AU168" s="109"/>
      <c r="AV168" s="109"/>
      <c r="AW168" s="109"/>
      <c r="AX168" s="109"/>
      <c r="AY168" s="109"/>
      <c r="AZ168" s="109"/>
      <c r="BA168" s="109"/>
      <c r="BB168" s="109"/>
      <c r="BC168" s="110"/>
      <c r="BD168" s="109"/>
      <c r="BE168" s="109"/>
      <c r="BF168" s="109"/>
      <c r="BG168" s="109"/>
      <c r="BH168" s="109"/>
      <c r="BI168" s="109"/>
      <c r="BJ168" s="109"/>
      <c r="BK168" s="109"/>
      <c r="BL168" s="109"/>
      <c r="BM168" s="109"/>
      <c r="BN168" s="109"/>
      <c r="BO168" s="109"/>
      <c r="BP168" s="110"/>
    </row>
    <row r="169" spans="1:68" x14ac:dyDescent="0.25">
      <c r="A169" t="s">
        <v>192</v>
      </c>
      <c r="B169" s="2" t="s">
        <v>193</v>
      </c>
      <c r="D169" s="3">
        <v>-1</v>
      </c>
      <c r="E169" s="3">
        <v>-1</v>
      </c>
      <c r="F169" s="3">
        <v>-1</v>
      </c>
      <c r="G169" s="3">
        <v>-1</v>
      </c>
      <c r="H169" s="3">
        <v>-1</v>
      </c>
      <c r="I169" s="3">
        <v>-1</v>
      </c>
      <c r="J169" s="3">
        <v>-1</v>
      </c>
      <c r="K169" s="3">
        <v>-1</v>
      </c>
      <c r="L169" s="3">
        <v>-1</v>
      </c>
      <c r="M169" s="3">
        <v>-1</v>
      </c>
      <c r="N169" s="3">
        <v>-1</v>
      </c>
      <c r="O169" s="3">
        <v>-1</v>
      </c>
      <c r="P169" s="4">
        <f t="shared" ref="P169:P180" si="153">O169</f>
        <v>-1</v>
      </c>
      <c r="Q169" s="3">
        <v>-1</v>
      </c>
      <c r="R169" s="3">
        <v>-1</v>
      </c>
      <c r="S169" s="3">
        <v>-1</v>
      </c>
      <c r="T169" s="3">
        <v>-1</v>
      </c>
      <c r="U169" s="3">
        <v>-1</v>
      </c>
      <c r="V169" s="3">
        <v>-1</v>
      </c>
      <c r="W169" s="3">
        <v>-1</v>
      </c>
      <c r="X169" s="3">
        <v>-1</v>
      </c>
      <c r="Y169" s="3">
        <v>-1</v>
      </c>
      <c r="Z169" s="3">
        <v>-1</v>
      </c>
      <c r="AA169" s="3">
        <v>-1</v>
      </c>
      <c r="AB169" s="3">
        <v>-1</v>
      </c>
      <c r="AC169" s="4">
        <f t="shared" ref="AC169:AC180" si="154">AB169</f>
        <v>-1</v>
      </c>
      <c r="AD169" s="3">
        <v>-1</v>
      </c>
      <c r="AE169" s="3">
        <v>-1</v>
      </c>
      <c r="AF169" s="3">
        <v>-1</v>
      </c>
      <c r="AG169" s="3">
        <v>-1</v>
      </c>
      <c r="AH169" s="3">
        <v>-1</v>
      </c>
      <c r="AI169" s="3">
        <v>-1</v>
      </c>
      <c r="AJ169" s="3">
        <v>-1</v>
      </c>
      <c r="AK169" s="3">
        <v>-1</v>
      </c>
      <c r="AL169" s="3">
        <v>-1</v>
      </c>
      <c r="AM169" s="3">
        <v>-1</v>
      </c>
      <c r="AN169" s="3">
        <v>-1</v>
      </c>
      <c r="AO169" s="3">
        <v>-1</v>
      </c>
      <c r="AP169" s="4">
        <f t="shared" ref="AP169:AP180" si="155">AO169</f>
        <v>-1</v>
      </c>
      <c r="AQ169" s="5">
        <v>-1</v>
      </c>
      <c r="AR169" s="3">
        <v>-1</v>
      </c>
      <c r="AS169" s="3">
        <v>-1</v>
      </c>
      <c r="AT169" s="3">
        <v>-1</v>
      </c>
      <c r="AU169" s="3">
        <v>-1</v>
      </c>
      <c r="AV169" s="3">
        <v>-1</v>
      </c>
      <c r="AW169" s="3">
        <v>-1</v>
      </c>
      <c r="AX169" s="3">
        <v>-1</v>
      </c>
      <c r="AY169" s="3">
        <v>-1</v>
      </c>
      <c r="AZ169" s="3">
        <v>-1</v>
      </c>
      <c r="BA169" s="3">
        <v>-1</v>
      </c>
      <c r="BB169" s="3">
        <v>-1</v>
      </c>
      <c r="BC169" s="4">
        <f t="shared" ref="BC169:BC180" si="156">BB169</f>
        <v>-1</v>
      </c>
    </row>
    <row r="170" spans="1:68" x14ac:dyDescent="0.25">
      <c r="A170" t="s">
        <v>194</v>
      </c>
      <c r="B170" s="2" t="s">
        <v>195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4">
        <f t="shared" si="153"/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4">
        <f t="shared" si="154"/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4">
        <f t="shared" si="155"/>
        <v>0</v>
      </c>
      <c r="AQ170" s="5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4">
        <f t="shared" si="156"/>
        <v>0</v>
      </c>
    </row>
    <row r="171" spans="1:68" x14ac:dyDescent="0.25">
      <c r="A171" t="s">
        <v>178</v>
      </c>
      <c r="B171" s="2" t="s">
        <v>196</v>
      </c>
      <c r="D171" s="3">
        <v>13750.75</v>
      </c>
      <c r="E171" s="3">
        <v>13750.75</v>
      </c>
      <c r="F171" s="3">
        <v>17391.62</v>
      </c>
      <c r="G171" s="3">
        <v>26964.03</v>
      </c>
      <c r="H171" s="3">
        <v>30047.24</v>
      </c>
      <c r="I171" s="3">
        <v>43309.98</v>
      </c>
      <c r="J171" s="3">
        <v>51227.68</v>
      </c>
      <c r="K171" s="3">
        <v>61097.34</v>
      </c>
      <c r="L171" s="3">
        <v>73287.759999999995</v>
      </c>
      <c r="M171" s="3">
        <v>94071.23</v>
      </c>
      <c r="N171" s="3">
        <v>110767.63</v>
      </c>
      <c r="O171" s="3">
        <v>132537.07</v>
      </c>
      <c r="P171" s="4">
        <f t="shared" si="153"/>
        <v>132537.07</v>
      </c>
      <c r="Q171" s="3">
        <v>137534.51999999999</v>
      </c>
      <c r="R171" s="3">
        <v>152985.76</v>
      </c>
      <c r="S171" s="3">
        <v>170217.16</v>
      </c>
      <c r="T171" s="3">
        <v>193249.82</v>
      </c>
      <c r="U171" s="3">
        <v>206375.16</v>
      </c>
      <c r="V171" s="3">
        <v>231045.91</v>
      </c>
      <c r="W171" s="3">
        <v>251972.68</v>
      </c>
      <c r="X171" s="3">
        <v>266785.03000000003</v>
      </c>
      <c r="Y171" s="3">
        <v>277277.90999999997</v>
      </c>
      <c r="Z171" s="3">
        <v>278089.82639</v>
      </c>
      <c r="AA171" s="3">
        <v>288385.03639000002</v>
      </c>
      <c r="AB171" s="3">
        <v>308902.65639000002</v>
      </c>
      <c r="AC171" s="4">
        <f t="shared" si="154"/>
        <v>308902.65639000002</v>
      </c>
      <c r="AD171" s="3">
        <v>309476.94639</v>
      </c>
      <c r="AE171" s="3">
        <v>312551.77639000001</v>
      </c>
      <c r="AF171" s="3">
        <v>325034.64639000001</v>
      </c>
      <c r="AG171" s="3">
        <v>350910.82639</v>
      </c>
      <c r="AH171" s="3">
        <v>356542.36638999998</v>
      </c>
      <c r="AI171" s="3">
        <v>385876.65639000002</v>
      </c>
      <c r="AJ171" s="3">
        <v>399936.69639</v>
      </c>
      <c r="AK171" s="3">
        <v>405726.80638999998</v>
      </c>
      <c r="AL171" s="3">
        <v>414243.25639</v>
      </c>
      <c r="AM171" s="3">
        <v>388122.30547999998</v>
      </c>
      <c r="AN171" s="3">
        <v>406502.12547999999</v>
      </c>
      <c r="AO171" s="3">
        <v>425769.04547999997</v>
      </c>
      <c r="AP171" s="4">
        <f t="shared" si="155"/>
        <v>425769.04547999997</v>
      </c>
      <c r="AQ171" s="5">
        <v>425769.04547999997</v>
      </c>
      <c r="AR171" s="3">
        <v>425769.04547999997</v>
      </c>
      <c r="AS171" s="3">
        <v>425769.04547999997</v>
      </c>
      <c r="AT171" s="3">
        <v>425769.04547999997</v>
      </c>
      <c r="AU171" s="3">
        <v>425769.04547999997</v>
      </c>
      <c r="AV171" s="3">
        <v>425769.04547999997</v>
      </c>
      <c r="AW171" s="3">
        <v>425769.04547999997</v>
      </c>
      <c r="AX171" s="3">
        <v>425769.04547999997</v>
      </c>
      <c r="AY171" s="3">
        <v>425769.04547999997</v>
      </c>
      <c r="AZ171" s="3">
        <v>425769.04547999997</v>
      </c>
      <c r="BA171" s="3">
        <v>425769.04547999997</v>
      </c>
      <c r="BB171" s="3">
        <v>425769.04547999997</v>
      </c>
      <c r="BC171" s="4">
        <f t="shared" si="156"/>
        <v>425769.04547999997</v>
      </c>
    </row>
    <row r="172" spans="1:68" x14ac:dyDescent="0.25">
      <c r="A172" t="s">
        <v>176</v>
      </c>
      <c r="B172" s="2" t="s">
        <v>197</v>
      </c>
      <c r="D172" s="3">
        <v>26250.25</v>
      </c>
      <c r="E172" s="3">
        <v>17556.09</v>
      </c>
      <c r="F172" s="3">
        <v>26213.62</v>
      </c>
      <c r="G172" s="3">
        <v>28190.81</v>
      </c>
      <c r="H172" s="3">
        <v>26027.74</v>
      </c>
      <c r="I172" s="3">
        <v>28843.86</v>
      </c>
      <c r="J172" s="3">
        <v>27639.23</v>
      </c>
      <c r="K172" s="3">
        <v>28289.89</v>
      </c>
      <c r="L172" s="3">
        <v>29063.47</v>
      </c>
      <c r="M172" s="3">
        <v>31927.82</v>
      </c>
      <c r="N172" s="3">
        <v>30565.47</v>
      </c>
      <c r="O172" s="3">
        <v>31302.48</v>
      </c>
      <c r="P172" s="4">
        <f t="shared" si="153"/>
        <v>31302.48</v>
      </c>
      <c r="Q172" s="3">
        <v>26665.82</v>
      </c>
      <c r="R172" s="3">
        <v>30150.41</v>
      </c>
      <c r="S172" s="3">
        <v>30743.8</v>
      </c>
      <c r="T172" s="3">
        <v>32677.55</v>
      </c>
      <c r="U172" s="3">
        <v>29375.11</v>
      </c>
      <c r="V172" s="3">
        <v>31617.37</v>
      </c>
      <c r="W172" s="3">
        <v>31975.59</v>
      </c>
      <c r="X172" s="3">
        <v>28935.81</v>
      </c>
      <c r="Y172" s="3">
        <v>28497.63</v>
      </c>
      <c r="Z172" s="3">
        <v>34035.360000000001</v>
      </c>
      <c r="AA172" s="3">
        <v>28431.74</v>
      </c>
      <c r="AB172" s="3">
        <v>31839.21</v>
      </c>
      <c r="AC172" s="4">
        <f t="shared" si="154"/>
        <v>31839.21</v>
      </c>
      <c r="AD172" s="3">
        <v>25191.43</v>
      </c>
      <c r="AE172" s="3">
        <v>26024.94</v>
      </c>
      <c r="AF172" s="3">
        <v>29160.959999999999</v>
      </c>
      <c r="AG172" s="3">
        <v>33625.4</v>
      </c>
      <c r="AH172" s="3">
        <v>26877.18</v>
      </c>
      <c r="AI172" s="3">
        <v>30349.1</v>
      </c>
      <c r="AJ172" s="3">
        <v>29686.68</v>
      </c>
      <c r="AK172" s="3">
        <v>26930.04</v>
      </c>
      <c r="AL172" s="3">
        <v>27838.82</v>
      </c>
      <c r="AM172" s="3">
        <v>29687.69</v>
      </c>
      <c r="AN172" s="3">
        <v>30820.74</v>
      </c>
      <c r="AO172" s="3">
        <v>25000</v>
      </c>
      <c r="AP172" s="4">
        <f t="shared" si="155"/>
        <v>25000</v>
      </c>
      <c r="AQ172" s="5">
        <v>25000</v>
      </c>
      <c r="AR172" s="3">
        <v>25000</v>
      </c>
      <c r="AS172" s="3">
        <v>25000</v>
      </c>
      <c r="AT172" s="3">
        <v>25000</v>
      </c>
      <c r="AU172" s="3">
        <v>25000</v>
      </c>
      <c r="AV172" s="3">
        <v>25000</v>
      </c>
      <c r="AW172" s="3">
        <v>25000</v>
      </c>
      <c r="AX172" s="3">
        <v>25000</v>
      </c>
      <c r="AY172" s="3">
        <v>25000</v>
      </c>
      <c r="AZ172" s="3">
        <v>25000</v>
      </c>
      <c r="BA172" s="3">
        <v>25000</v>
      </c>
      <c r="BB172" s="3">
        <v>25000</v>
      </c>
      <c r="BC172" s="4">
        <f t="shared" si="156"/>
        <v>25000</v>
      </c>
    </row>
    <row r="173" spans="1:68" x14ac:dyDescent="0.25">
      <c r="A173" t="s">
        <v>176</v>
      </c>
      <c r="B173" s="2" t="s">
        <v>198</v>
      </c>
      <c r="D173" s="3">
        <v>0</v>
      </c>
      <c r="E173" s="3">
        <v>11991.54</v>
      </c>
      <c r="F173" s="3">
        <v>16321.07</v>
      </c>
      <c r="G173" s="3">
        <v>17030.28</v>
      </c>
      <c r="H173" s="3">
        <v>14908.71</v>
      </c>
      <c r="I173" s="3">
        <v>17599.16</v>
      </c>
      <c r="J173" s="3">
        <v>15418.77</v>
      </c>
      <c r="K173" s="3">
        <v>18283.66</v>
      </c>
      <c r="L173" s="3">
        <v>17161.8</v>
      </c>
      <c r="M173" s="3">
        <v>19909.62</v>
      </c>
      <c r="N173" s="3">
        <v>19643.82</v>
      </c>
      <c r="O173" s="3">
        <v>21124.44</v>
      </c>
      <c r="P173" s="4">
        <f t="shared" si="153"/>
        <v>21124.44</v>
      </c>
      <c r="Q173" s="3">
        <v>26273.24</v>
      </c>
      <c r="R173" s="3">
        <v>33510.07</v>
      </c>
      <c r="S173" s="3">
        <v>30397.57</v>
      </c>
      <c r="T173" s="3">
        <v>33370.17</v>
      </c>
      <c r="U173" s="3">
        <v>30936.76</v>
      </c>
      <c r="V173" s="3">
        <v>32688.3</v>
      </c>
      <c r="W173" s="3">
        <v>31578.52</v>
      </c>
      <c r="X173" s="3">
        <v>30338.27</v>
      </c>
      <c r="Y173" s="3">
        <v>28108.07</v>
      </c>
      <c r="Z173" s="3">
        <v>34530.93</v>
      </c>
      <c r="AA173" s="3">
        <v>28880.46</v>
      </c>
      <c r="AB173" s="3">
        <v>31752.83</v>
      </c>
      <c r="AC173" s="4">
        <f t="shared" si="154"/>
        <v>31752.83</v>
      </c>
      <c r="AD173" s="3">
        <v>37987.904999999999</v>
      </c>
      <c r="AE173" s="3">
        <v>42643.205000000002</v>
      </c>
      <c r="AF173" s="3">
        <v>42451.665000000001</v>
      </c>
      <c r="AG173" s="3">
        <v>46601.385000000002</v>
      </c>
      <c r="AH173" s="3">
        <v>39771.474999999999</v>
      </c>
      <c r="AI173" s="3">
        <v>46891.945</v>
      </c>
      <c r="AJ173" s="3">
        <v>42018.714999999997</v>
      </c>
      <c r="AK173" s="3">
        <v>42424.044999999998</v>
      </c>
      <c r="AL173" s="3">
        <v>40752.675000000003</v>
      </c>
      <c r="AM173" s="3">
        <v>43642.735000000001</v>
      </c>
      <c r="AN173" s="3">
        <v>45069.974999999999</v>
      </c>
      <c r="AO173" s="3">
        <v>42139.754999999997</v>
      </c>
      <c r="AP173" s="4">
        <f t="shared" si="155"/>
        <v>42139.754999999997</v>
      </c>
      <c r="AQ173" s="5">
        <v>42139.754999999997</v>
      </c>
      <c r="AR173" s="3">
        <v>42139.754999999997</v>
      </c>
      <c r="AS173" s="3">
        <v>42139.754999999997</v>
      </c>
      <c r="AT173" s="3">
        <v>42139.754999999997</v>
      </c>
      <c r="AU173" s="3">
        <v>42139.754999999997</v>
      </c>
      <c r="AV173" s="3">
        <v>42139.754999999997</v>
      </c>
      <c r="AW173" s="3">
        <v>42139.754999999997</v>
      </c>
      <c r="AX173" s="3">
        <v>42139.754999999997</v>
      </c>
      <c r="AY173" s="3">
        <v>42139.754999999997</v>
      </c>
      <c r="AZ173" s="3">
        <v>42139.754999999997</v>
      </c>
      <c r="BA173" s="3">
        <v>42139.754999999997</v>
      </c>
      <c r="BB173" s="3">
        <v>42139.754999999997</v>
      </c>
      <c r="BC173" s="4">
        <f t="shared" si="156"/>
        <v>42139.754999999997</v>
      </c>
    </row>
    <row r="174" spans="1:68" x14ac:dyDescent="0.25">
      <c r="A174" t="s">
        <v>199</v>
      </c>
      <c r="B174" s="2" t="s">
        <v>200</v>
      </c>
      <c r="D174" s="3">
        <v>-5000</v>
      </c>
      <c r="E174" s="3">
        <v>-3800</v>
      </c>
      <c r="F174" s="3">
        <v>-3800</v>
      </c>
      <c r="G174" s="3">
        <v>-3000</v>
      </c>
      <c r="H174" s="3">
        <v>-3000</v>
      </c>
      <c r="I174" s="3">
        <v>-3000</v>
      </c>
      <c r="J174" s="3">
        <v>-3000</v>
      </c>
      <c r="K174" s="3">
        <v>-3000</v>
      </c>
      <c r="L174" s="3">
        <v>-3000</v>
      </c>
      <c r="M174" s="3">
        <v>-3000</v>
      </c>
      <c r="N174" s="3">
        <v>-3000</v>
      </c>
      <c r="O174" s="3">
        <v>-3000</v>
      </c>
      <c r="P174" s="4">
        <f t="shared" si="153"/>
        <v>-3000</v>
      </c>
      <c r="Q174" s="3">
        <v>-3000</v>
      </c>
      <c r="R174" s="3">
        <v>-3000</v>
      </c>
      <c r="S174" s="3">
        <v>-3000</v>
      </c>
      <c r="T174" s="3">
        <v>-3000</v>
      </c>
      <c r="U174" s="3">
        <v>-3000</v>
      </c>
      <c r="V174" s="3">
        <v>-3000</v>
      </c>
      <c r="W174" s="3">
        <v>-3000</v>
      </c>
      <c r="X174" s="3">
        <v>-3000</v>
      </c>
      <c r="Y174" s="3">
        <v>-3000</v>
      </c>
      <c r="Z174" s="3">
        <v>-3000</v>
      </c>
      <c r="AA174" s="3">
        <v>-3000</v>
      </c>
      <c r="AB174" s="3">
        <v>-3000</v>
      </c>
      <c r="AC174" s="4">
        <f t="shared" si="154"/>
        <v>-3000</v>
      </c>
      <c r="AD174" s="3">
        <v>-3000</v>
      </c>
      <c r="AE174" s="3">
        <v>-3000</v>
      </c>
      <c r="AF174" s="3">
        <v>-3000</v>
      </c>
      <c r="AG174" s="3">
        <v>-3000</v>
      </c>
      <c r="AH174" s="3">
        <v>-3000</v>
      </c>
      <c r="AI174" s="3">
        <v>-3000</v>
      </c>
      <c r="AJ174" s="3">
        <v>-3000</v>
      </c>
      <c r="AK174" s="3">
        <v>-3000</v>
      </c>
      <c r="AL174" s="3">
        <v>-3000</v>
      </c>
      <c r="AM174" s="3">
        <v>-3000</v>
      </c>
      <c r="AN174" s="3">
        <v>-3000</v>
      </c>
      <c r="AO174" s="3">
        <v>-3000</v>
      </c>
      <c r="AP174" s="4">
        <f t="shared" si="155"/>
        <v>-3000</v>
      </c>
      <c r="AQ174" s="5">
        <v>-3000</v>
      </c>
      <c r="AR174" s="3">
        <v>-3000</v>
      </c>
      <c r="AS174" s="3">
        <v>-3000</v>
      </c>
      <c r="AT174" s="3">
        <v>-3000</v>
      </c>
      <c r="AU174" s="3">
        <v>-3000</v>
      </c>
      <c r="AV174" s="3">
        <v>-3000</v>
      </c>
      <c r="AW174" s="3">
        <v>-3000</v>
      </c>
      <c r="AX174" s="3">
        <v>-3000</v>
      </c>
      <c r="AY174" s="3">
        <v>-3000</v>
      </c>
      <c r="AZ174" s="3">
        <v>-3000</v>
      </c>
      <c r="BA174" s="3">
        <v>-3000</v>
      </c>
      <c r="BB174" s="3">
        <v>-3000</v>
      </c>
      <c r="BC174" s="4">
        <f t="shared" si="156"/>
        <v>-3000</v>
      </c>
    </row>
    <row r="175" spans="1:68" x14ac:dyDescent="0.25">
      <c r="A175" t="s">
        <v>201</v>
      </c>
      <c r="B175" s="2" t="s">
        <v>202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4">
        <f t="shared" si="153"/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4">
        <f t="shared" si="154"/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4">
        <f t="shared" si="155"/>
        <v>0</v>
      </c>
      <c r="AQ175" s="5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4">
        <f t="shared" si="156"/>
        <v>0</v>
      </c>
    </row>
    <row r="176" spans="1:68" x14ac:dyDescent="0.25">
      <c r="A176" t="s">
        <v>203</v>
      </c>
      <c r="B176" s="2" t="s">
        <v>204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4000</v>
      </c>
      <c r="P176" s="4">
        <f t="shared" si="153"/>
        <v>4000</v>
      </c>
      <c r="Q176" s="3">
        <v>4000</v>
      </c>
      <c r="R176" s="3">
        <v>4000</v>
      </c>
      <c r="S176" s="3">
        <v>4000</v>
      </c>
      <c r="T176" s="3">
        <v>4000</v>
      </c>
      <c r="U176" s="3">
        <v>4000</v>
      </c>
      <c r="V176" s="3">
        <v>4000</v>
      </c>
      <c r="W176" s="3">
        <v>4000</v>
      </c>
      <c r="X176" s="3">
        <v>4000</v>
      </c>
      <c r="Y176" s="3">
        <v>4000</v>
      </c>
      <c r="Z176" s="3">
        <v>4000</v>
      </c>
      <c r="AA176" s="3">
        <v>4000</v>
      </c>
      <c r="AB176" s="3">
        <v>3000</v>
      </c>
      <c r="AC176" s="4">
        <f t="shared" si="154"/>
        <v>3000</v>
      </c>
      <c r="AD176" s="3">
        <v>3000</v>
      </c>
      <c r="AE176" s="3">
        <v>3000</v>
      </c>
      <c r="AF176" s="3">
        <v>3000</v>
      </c>
      <c r="AG176" s="3">
        <v>3000</v>
      </c>
      <c r="AH176" s="3">
        <v>3000</v>
      </c>
      <c r="AI176" s="3">
        <v>3000</v>
      </c>
      <c r="AJ176" s="3">
        <v>3000</v>
      </c>
      <c r="AK176" s="3">
        <v>3000</v>
      </c>
      <c r="AL176" s="3">
        <v>3000</v>
      </c>
      <c r="AM176" s="3">
        <v>3000</v>
      </c>
      <c r="AN176" s="3">
        <v>3000</v>
      </c>
      <c r="AO176" s="3">
        <v>2000</v>
      </c>
      <c r="AP176" s="4">
        <f t="shared" si="155"/>
        <v>2000</v>
      </c>
      <c r="AQ176" s="5">
        <v>2000</v>
      </c>
      <c r="AR176" s="3">
        <v>2000</v>
      </c>
      <c r="AS176" s="3">
        <v>2000</v>
      </c>
      <c r="AT176" s="3">
        <v>2000</v>
      </c>
      <c r="AU176" s="3">
        <v>2000</v>
      </c>
      <c r="AV176" s="3">
        <v>2000</v>
      </c>
      <c r="AW176" s="3">
        <v>2000</v>
      </c>
      <c r="AX176" s="3">
        <v>2000</v>
      </c>
      <c r="AY176" s="3">
        <v>2000</v>
      </c>
      <c r="AZ176" s="3">
        <v>2000</v>
      </c>
      <c r="BA176" s="3">
        <v>2000</v>
      </c>
      <c r="BB176" s="3">
        <v>2000</v>
      </c>
      <c r="BC176" s="4">
        <f t="shared" si="156"/>
        <v>2000</v>
      </c>
    </row>
    <row r="177" spans="1:68" x14ac:dyDescent="0.25">
      <c r="A177" t="s">
        <v>205</v>
      </c>
      <c r="B177" s="2" t="s">
        <v>206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4">
        <f t="shared" si="153"/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4">
        <f t="shared" si="154"/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4">
        <f t="shared" si="155"/>
        <v>0</v>
      </c>
      <c r="AQ177" s="5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4">
        <f t="shared" si="156"/>
        <v>0</v>
      </c>
    </row>
    <row r="178" spans="1:68" x14ac:dyDescent="0.25">
      <c r="A178" t="s">
        <v>207</v>
      </c>
      <c r="B178" s="2" t="s">
        <v>208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-26294.153610000001</v>
      </c>
      <c r="P178" s="4">
        <f t="shared" si="153"/>
        <v>-26294.153610000001</v>
      </c>
      <c r="Q178" s="3">
        <v>-26294.153610000001</v>
      </c>
      <c r="R178" s="3">
        <v>-26294.153610000001</v>
      </c>
      <c r="S178" s="3">
        <v>-26294.153610000001</v>
      </c>
      <c r="T178" s="3">
        <v>-26294.153610000001</v>
      </c>
      <c r="U178" s="3">
        <v>-26294.153610000001</v>
      </c>
      <c r="V178" s="3">
        <v>-26294.153610000001</v>
      </c>
      <c r="W178" s="3">
        <v>-26294.153610000001</v>
      </c>
      <c r="X178" s="3">
        <v>-26294.153610000001</v>
      </c>
      <c r="Y178" s="3">
        <v>-26294.153610000001</v>
      </c>
      <c r="Z178" s="3">
        <v>0</v>
      </c>
      <c r="AA178" s="3">
        <v>0</v>
      </c>
      <c r="AB178" s="3">
        <v>-40184.010909999997</v>
      </c>
      <c r="AC178" s="4">
        <f t="shared" si="154"/>
        <v>-40184.010909999997</v>
      </c>
      <c r="AD178" s="3">
        <v>-40184.010909999997</v>
      </c>
      <c r="AE178" s="3">
        <v>-40184.010909999997</v>
      </c>
      <c r="AF178" s="3">
        <v>-40184.010909999997</v>
      </c>
      <c r="AG178" s="3">
        <v>-40184.010909999997</v>
      </c>
      <c r="AH178" s="3">
        <v>-40184.010909999997</v>
      </c>
      <c r="AI178" s="3">
        <v>-40184.010909999997</v>
      </c>
      <c r="AJ178" s="3">
        <v>-40184.010909999997</v>
      </c>
      <c r="AK178" s="3">
        <v>-40184.010909999997</v>
      </c>
      <c r="AL178" s="3">
        <v>-40184.010909999997</v>
      </c>
      <c r="AM178" s="3">
        <v>0</v>
      </c>
      <c r="AN178" s="3">
        <v>0</v>
      </c>
      <c r="AO178" s="3">
        <v>-31745.565930000001</v>
      </c>
      <c r="AP178" s="4">
        <f t="shared" si="155"/>
        <v>-31745.565930000001</v>
      </c>
      <c r="AQ178" s="5">
        <v>-31745.565930000001</v>
      </c>
      <c r="AR178" s="3">
        <v>-31745.565930000001</v>
      </c>
      <c r="AS178" s="3">
        <v>-31745.565930000001</v>
      </c>
      <c r="AT178" s="3">
        <v>-31745.565930000001</v>
      </c>
      <c r="AU178" s="3">
        <v>-31745.565930000001</v>
      </c>
      <c r="AV178" s="3">
        <v>-31745.565930000001</v>
      </c>
      <c r="AW178" s="3">
        <v>-31745.565930000001</v>
      </c>
      <c r="AX178" s="3">
        <v>-31745.565930000001</v>
      </c>
      <c r="AY178" s="3">
        <v>-31745.565930000001</v>
      </c>
      <c r="AZ178" s="3">
        <v>-31745.565930000001</v>
      </c>
      <c r="BA178" s="3">
        <v>-31745.565930000001</v>
      </c>
      <c r="BB178" s="3">
        <v>-31745.565930000001</v>
      </c>
      <c r="BC178" s="4">
        <f t="shared" si="156"/>
        <v>-31745.565930000001</v>
      </c>
    </row>
    <row r="179" spans="1:68" x14ac:dyDescent="0.25">
      <c r="A179" t="s">
        <v>209</v>
      </c>
      <c r="B179" s="2" t="s">
        <v>209</v>
      </c>
      <c r="D179" s="3">
        <v>0</v>
      </c>
      <c r="E179" s="3">
        <v>-807.35</v>
      </c>
      <c r="F179" s="3">
        <v>-4122.92</v>
      </c>
      <c r="G179" s="3">
        <v>-6654.38</v>
      </c>
      <c r="H179" s="3">
        <v>-3473.49</v>
      </c>
      <c r="I179" s="3">
        <v>-7087.68</v>
      </c>
      <c r="J179" s="3">
        <v>-6674.06</v>
      </c>
      <c r="K179" s="3">
        <v>-3417.78</v>
      </c>
      <c r="L179" s="3">
        <v>-5887.02</v>
      </c>
      <c r="M179" s="3">
        <v>-10780.8</v>
      </c>
      <c r="N179" s="3">
        <v>-8745.73</v>
      </c>
      <c r="O179" s="3">
        <v>-10827.62</v>
      </c>
      <c r="P179" s="4">
        <f t="shared" si="153"/>
        <v>-10827.62</v>
      </c>
      <c r="Q179" s="3">
        <v>-10226.76</v>
      </c>
      <c r="R179" s="3">
        <v>-6018.05</v>
      </c>
      <c r="S179" s="3">
        <v>-8968.4</v>
      </c>
      <c r="T179" s="3">
        <v>-11406.38</v>
      </c>
      <c r="U179" s="3">
        <v>-2086.7399999999998</v>
      </c>
      <c r="V179" s="3">
        <v>-7348.4</v>
      </c>
      <c r="W179" s="3">
        <v>-10660.64</v>
      </c>
      <c r="X179" s="3">
        <v>-6875.2</v>
      </c>
      <c r="Y179" s="3">
        <v>-8013.7</v>
      </c>
      <c r="Z179" s="3">
        <v>-14871.45</v>
      </c>
      <c r="AA179" s="3">
        <v>-8562.23</v>
      </c>
      <c r="AB179" s="3">
        <v>-13450.21</v>
      </c>
      <c r="AC179" s="4">
        <f t="shared" si="154"/>
        <v>-13450.21</v>
      </c>
      <c r="AD179" s="3">
        <v>-13783.32</v>
      </c>
      <c r="AE179" s="3">
        <v>-4622.42</v>
      </c>
      <c r="AF179" s="3">
        <v>-6917.99</v>
      </c>
      <c r="AG179" s="3">
        <v>-13095.62</v>
      </c>
      <c r="AH179" s="3">
        <v>-6563.54</v>
      </c>
      <c r="AI179" s="3">
        <v>-13621.99</v>
      </c>
      <c r="AJ179" s="3">
        <v>-14901.41</v>
      </c>
      <c r="AK179" s="3">
        <v>-4664.8599999999997</v>
      </c>
      <c r="AL179" s="3">
        <v>-4216.12</v>
      </c>
      <c r="AM179" s="3">
        <v>-4548.26</v>
      </c>
      <c r="AN179" s="3">
        <v>-4402.3599999999997</v>
      </c>
      <c r="AO179" s="3">
        <v>-6687.9</v>
      </c>
      <c r="AP179" s="4">
        <f t="shared" si="155"/>
        <v>-6687.9</v>
      </c>
      <c r="AQ179" s="5">
        <v>-6687.9</v>
      </c>
      <c r="AR179" s="3">
        <v>-6687.9</v>
      </c>
      <c r="AS179" s="3">
        <v>-6687.9</v>
      </c>
      <c r="AT179" s="3">
        <v>-6687.9</v>
      </c>
      <c r="AU179" s="3">
        <v>-6687.9</v>
      </c>
      <c r="AV179" s="3">
        <v>-6687.9</v>
      </c>
      <c r="AW179" s="3">
        <v>-6687.9</v>
      </c>
      <c r="AX179" s="3">
        <v>-6687.9</v>
      </c>
      <c r="AY179" s="3">
        <v>-6687.9</v>
      </c>
      <c r="AZ179" s="3">
        <v>-6687.9</v>
      </c>
      <c r="BA179" s="3">
        <v>-6687.9</v>
      </c>
      <c r="BB179" s="3">
        <v>-6687.9</v>
      </c>
      <c r="BC179" s="4">
        <f t="shared" si="156"/>
        <v>-6687.9</v>
      </c>
    </row>
    <row r="180" spans="1:68" x14ac:dyDescent="0.25">
      <c r="A180" t="s">
        <v>176</v>
      </c>
      <c r="B180" s="2" t="s">
        <v>210</v>
      </c>
      <c r="D180" s="3">
        <v>0</v>
      </c>
      <c r="E180" s="3">
        <v>-1185.8996</v>
      </c>
      <c r="F180" s="3">
        <v>-599.42971999999997</v>
      </c>
      <c r="G180" s="3">
        <v>-295.53287999999998</v>
      </c>
      <c r="H180" s="3">
        <v>-172.72656000000001</v>
      </c>
      <c r="I180" s="3">
        <v>-86.110759999999999</v>
      </c>
      <c r="J180" s="3">
        <v>-179.86204000000001</v>
      </c>
      <c r="K180" s="3">
        <v>-397.76364000000001</v>
      </c>
      <c r="L180" s="3">
        <v>-379.30576000000002</v>
      </c>
      <c r="M180" s="3">
        <v>-313.5684</v>
      </c>
      <c r="N180" s="3">
        <v>-863.06736000000001</v>
      </c>
      <c r="O180" s="3">
        <v>-746.08784000000003</v>
      </c>
      <c r="P180" s="4">
        <f t="shared" si="153"/>
        <v>-746.08784000000003</v>
      </c>
      <c r="Q180" s="3">
        <v>-645.37616000000003</v>
      </c>
      <c r="R180" s="3">
        <v>-727.88192000000004</v>
      </c>
      <c r="S180" s="3">
        <v>-607.79088000000002</v>
      </c>
      <c r="T180" s="3">
        <v>-1610.7416800000001</v>
      </c>
      <c r="U180" s="3">
        <v>-902.1</v>
      </c>
      <c r="V180" s="3">
        <v>-643.82003999999995</v>
      </c>
      <c r="W180" s="3">
        <v>-818.04192</v>
      </c>
      <c r="X180" s="3">
        <v>-187.10908000000001</v>
      </c>
      <c r="Y180" s="3">
        <v>-261.60651999999999</v>
      </c>
      <c r="Z180" s="3">
        <v>-878.20591999999999</v>
      </c>
      <c r="AA180" s="3">
        <v>-398.80671999999998</v>
      </c>
      <c r="AB180" s="3">
        <v>-453.56356</v>
      </c>
      <c r="AC180" s="4">
        <f t="shared" si="154"/>
        <v>-453.56356</v>
      </c>
      <c r="AD180" s="3">
        <v>-1275.6914400000001</v>
      </c>
      <c r="AE180" s="3">
        <v>-272.99072000000001</v>
      </c>
      <c r="AF180" s="3">
        <v>-542.35011999999995</v>
      </c>
      <c r="AG180" s="3">
        <v>-824.28908000000001</v>
      </c>
      <c r="AH180" s="3">
        <v>-277.95943999999997</v>
      </c>
      <c r="AI180" s="3">
        <v>-655.26811999999995</v>
      </c>
      <c r="AJ180" s="3">
        <v>-440.27888000000002</v>
      </c>
      <c r="AK180" s="3">
        <v>-170.39116000000001</v>
      </c>
      <c r="AL180" s="3">
        <v>-342.28528</v>
      </c>
      <c r="AM180" s="3">
        <v>-1499.0188000000001</v>
      </c>
      <c r="AN180" s="3">
        <v>-1099.49</v>
      </c>
      <c r="AO180" s="3">
        <v>-731.98260000000005</v>
      </c>
      <c r="AP180" s="4">
        <f t="shared" si="155"/>
        <v>-731.98260000000005</v>
      </c>
      <c r="AQ180" s="5">
        <v>-731.98260000000005</v>
      </c>
      <c r="AR180" s="3">
        <v>-731.98260000000005</v>
      </c>
      <c r="AS180" s="3">
        <v>-731.98260000000005</v>
      </c>
      <c r="AT180" s="3">
        <v>-731.98260000000005</v>
      </c>
      <c r="AU180" s="3">
        <v>-731.98260000000005</v>
      </c>
      <c r="AV180" s="3">
        <v>-731.98260000000005</v>
      </c>
      <c r="AW180" s="3">
        <v>-731.98260000000005</v>
      </c>
      <c r="AX180" s="3">
        <v>-731.98260000000005</v>
      </c>
      <c r="AY180" s="3">
        <v>-731.98260000000005</v>
      </c>
      <c r="AZ180" s="3">
        <v>-731.98260000000005</v>
      </c>
      <c r="BA180" s="3">
        <v>-731.98260000000005</v>
      </c>
      <c r="BB180" s="3">
        <v>-731.98260000000005</v>
      </c>
      <c r="BC180" s="4">
        <f t="shared" si="156"/>
        <v>-731.98260000000005</v>
      </c>
    </row>
    <row r="181" spans="1:68" s="13" customFormat="1" x14ac:dyDescent="0.25">
      <c r="A181" s="13" t="s">
        <v>211</v>
      </c>
      <c r="B181" s="60"/>
      <c r="D181" s="61">
        <f t="shared" ref="D181:AI181" si="157">SUM(D169:D180)</f>
        <v>35000</v>
      </c>
      <c r="E181" s="61">
        <f t="shared" si="157"/>
        <v>37504.130400000009</v>
      </c>
      <c r="F181" s="61">
        <f t="shared" si="157"/>
        <v>51402.960279999999</v>
      </c>
      <c r="G181" s="61">
        <f t="shared" si="157"/>
        <v>62234.207119999999</v>
      </c>
      <c r="H181" s="61">
        <f t="shared" si="157"/>
        <v>64336.473440000002</v>
      </c>
      <c r="I181" s="61">
        <f t="shared" si="157"/>
        <v>79578.209240000011</v>
      </c>
      <c r="J181" s="61">
        <f t="shared" si="157"/>
        <v>84430.757960000003</v>
      </c>
      <c r="K181" s="61">
        <f t="shared" si="157"/>
        <v>100854.34636</v>
      </c>
      <c r="L181" s="61">
        <f t="shared" si="157"/>
        <v>110245.70423999999</v>
      </c>
      <c r="M181" s="61">
        <f t="shared" si="157"/>
        <v>131813.30160000001</v>
      </c>
      <c r="N181" s="61">
        <f t="shared" si="157"/>
        <v>148367.12264000002</v>
      </c>
      <c r="O181" s="61">
        <f t="shared" si="157"/>
        <v>148095.12855000002</v>
      </c>
      <c r="P181" s="62">
        <f t="shared" si="157"/>
        <v>148095.12855000002</v>
      </c>
      <c r="Q181" s="61">
        <f t="shared" si="157"/>
        <v>154306.29022999996</v>
      </c>
      <c r="R181" s="61">
        <f t="shared" si="157"/>
        <v>184605.15447000001</v>
      </c>
      <c r="S181" s="61">
        <f t="shared" si="157"/>
        <v>196487.18551000001</v>
      </c>
      <c r="T181" s="61">
        <f t="shared" si="157"/>
        <v>220985.26470999996</v>
      </c>
      <c r="U181" s="61">
        <f t="shared" si="157"/>
        <v>238403.03639000002</v>
      </c>
      <c r="V181" s="61">
        <f t="shared" si="157"/>
        <v>262064.20635000002</v>
      </c>
      <c r="W181" s="61">
        <f t="shared" si="157"/>
        <v>278752.95447000006</v>
      </c>
      <c r="X181" s="61">
        <f t="shared" si="157"/>
        <v>293701.64731000003</v>
      </c>
      <c r="Y181" s="61">
        <f t="shared" si="157"/>
        <v>300313.14987000002</v>
      </c>
      <c r="Z181" s="61">
        <f t="shared" si="157"/>
        <v>331905.46046999999</v>
      </c>
      <c r="AA181" s="61">
        <f t="shared" si="157"/>
        <v>337735.19967000006</v>
      </c>
      <c r="AB181" s="61">
        <f t="shared" si="157"/>
        <v>318405.91192000004</v>
      </c>
      <c r="AC181" s="62">
        <f t="shared" si="157"/>
        <v>318405.91192000004</v>
      </c>
      <c r="AD181" s="61">
        <f t="shared" si="157"/>
        <v>317412.25903999998</v>
      </c>
      <c r="AE181" s="61">
        <f t="shared" si="157"/>
        <v>336139.49976000004</v>
      </c>
      <c r="AF181" s="61">
        <f t="shared" si="157"/>
        <v>349001.92035999999</v>
      </c>
      <c r="AG181" s="61">
        <f t="shared" si="157"/>
        <v>377032.69140000001</v>
      </c>
      <c r="AH181" s="61">
        <f t="shared" si="157"/>
        <v>376164.51103999995</v>
      </c>
      <c r="AI181" s="61">
        <f t="shared" si="157"/>
        <v>408655.43235999998</v>
      </c>
      <c r="AJ181" s="61">
        <f t="shared" ref="AJ181:BO181" si="158">SUM(AJ169:AJ180)</f>
        <v>416115.39159999997</v>
      </c>
      <c r="AK181" s="61">
        <f t="shared" si="158"/>
        <v>430060.62931999995</v>
      </c>
      <c r="AL181" s="61">
        <f t="shared" si="158"/>
        <v>438091.33519999997</v>
      </c>
      <c r="AM181" s="61">
        <f t="shared" si="158"/>
        <v>455404.45167999994</v>
      </c>
      <c r="AN181" s="61">
        <f t="shared" si="158"/>
        <v>476889.99047999998</v>
      </c>
      <c r="AO181" s="61">
        <f t="shared" si="158"/>
        <v>452742.35194999998</v>
      </c>
      <c r="AP181" s="62">
        <f t="shared" si="158"/>
        <v>452742.35194999998</v>
      </c>
      <c r="AQ181" s="63">
        <f t="shared" si="158"/>
        <v>452742.35194999998</v>
      </c>
      <c r="AR181" s="61">
        <f t="shared" si="158"/>
        <v>452742.35194999998</v>
      </c>
      <c r="AS181" s="61">
        <f t="shared" si="158"/>
        <v>452742.35194999998</v>
      </c>
      <c r="AT181" s="61">
        <f t="shared" si="158"/>
        <v>452742.35194999998</v>
      </c>
      <c r="AU181" s="61">
        <f t="shared" si="158"/>
        <v>452742.35194999998</v>
      </c>
      <c r="AV181" s="61">
        <f t="shared" si="158"/>
        <v>452742.35194999998</v>
      </c>
      <c r="AW181" s="61">
        <f t="shared" si="158"/>
        <v>452742.35194999998</v>
      </c>
      <c r="AX181" s="61">
        <f t="shared" si="158"/>
        <v>452742.35194999998</v>
      </c>
      <c r="AY181" s="61">
        <f t="shared" si="158"/>
        <v>452742.35194999998</v>
      </c>
      <c r="AZ181" s="61">
        <f t="shared" si="158"/>
        <v>452742.35194999998</v>
      </c>
      <c r="BA181" s="61">
        <f t="shared" si="158"/>
        <v>452742.35194999998</v>
      </c>
      <c r="BB181" s="61">
        <f t="shared" si="158"/>
        <v>452742.35194999998</v>
      </c>
      <c r="BC181" s="62">
        <f t="shared" si="158"/>
        <v>452742.35194999998</v>
      </c>
      <c r="BD181" s="61">
        <f t="shared" si="158"/>
        <v>0</v>
      </c>
      <c r="BE181" s="61">
        <f t="shared" si="158"/>
        <v>0</v>
      </c>
      <c r="BF181" s="61">
        <f t="shared" si="158"/>
        <v>0</v>
      </c>
      <c r="BG181" s="61">
        <f t="shared" si="158"/>
        <v>0</v>
      </c>
      <c r="BH181" s="61">
        <f t="shared" si="158"/>
        <v>0</v>
      </c>
      <c r="BI181" s="61">
        <f t="shared" si="158"/>
        <v>0</v>
      </c>
      <c r="BJ181" s="61">
        <f t="shared" si="158"/>
        <v>0</v>
      </c>
      <c r="BK181" s="61">
        <f t="shared" si="158"/>
        <v>0</v>
      </c>
      <c r="BL181" s="61">
        <f t="shared" si="158"/>
        <v>0</v>
      </c>
      <c r="BM181" s="61">
        <f t="shared" si="158"/>
        <v>0</v>
      </c>
      <c r="BN181" s="61">
        <f t="shared" si="158"/>
        <v>0</v>
      </c>
      <c r="BO181" s="61">
        <f t="shared" si="158"/>
        <v>0</v>
      </c>
      <c r="BP181" s="62">
        <f t="shared" ref="BP181:CU181" si="159">SUM(BP169:BP180)</f>
        <v>0</v>
      </c>
    </row>
  </sheetData>
  <sheetProtection sheet="1" objects="1"/>
  <conditionalFormatting sqref="D127:BP139">
    <cfRule type="cellIs" dxfId="6" priority="1" operator="lessThan">
      <formula>0</formula>
    </cfRule>
  </conditionalFormatting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"/>
  <sheetViews>
    <sheetView workbookViewId="0">
      <pane ySplit="4" topLeftCell="A5" activePane="bottomLeft" state="frozenSplit"/>
      <selection pane="bottomLeft"/>
    </sheetView>
  </sheetViews>
  <sheetFormatPr defaultRowHeight="15" x14ac:dyDescent="0.25"/>
  <cols>
    <col min="1" max="1" width="9.7109375" customWidth="1"/>
    <col min="2" max="2" width="25.7109375" customWidth="1"/>
    <col min="3" max="3" width="14.7109375" style="112" customWidth="1"/>
    <col min="4" max="4" width="13.5703125" style="112" customWidth="1"/>
    <col min="5" max="5" width="10.42578125" style="112" customWidth="1"/>
    <col min="6" max="6" width="11.5703125" style="112" customWidth="1"/>
    <col min="7" max="7" width="13.28515625" style="112" customWidth="1"/>
    <col min="8" max="8" width="17" style="112" customWidth="1"/>
    <col min="9" max="9" width="22.85546875" style="112" customWidth="1"/>
    <col min="10" max="10" width="23.42578125" style="112" customWidth="1"/>
    <col min="11" max="11" width="11.5703125" style="112" customWidth="1"/>
    <col min="12" max="12" width="9.140625" style="112" customWidth="1"/>
    <col min="13" max="13" width="11" style="112" customWidth="1"/>
    <col min="14" max="14" width="9.85546875" style="112" customWidth="1"/>
    <col min="15" max="15" width="6.42578125" customWidth="1"/>
  </cols>
  <sheetData>
    <row r="1" spans="1:15" s="111" customFormat="1" x14ac:dyDescent="0.25">
      <c r="A1" s="111" t="s">
        <v>212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</row>
    <row r="2" spans="1:15" x14ac:dyDescent="0.25">
      <c r="A2" t="s">
        <v>213</v>
      </c>
      <c r="B2" s="112">
        <v>0.1</v>
      </c>
      <c r="D2" s="112" t="s">
        <v>214</v>
      </c>
      <c r="E2" s="113" t="str">
        <f>IF(COUNTIF(O5:O8,"FAIL")&gt;0,"FAIL",IF(COUNTIF(O5:O8,"WARN")&gt;0,"WARN","PASS"))</f>
        <v>PASS</v>
      </c>
    </row>
    <row r="4" spans="1:15" s="104" customFormat="1" x14ac:dyDescent="0.25">
      <c r="A4" s="104" t="s">
        <v>215</v>
      </c>
      <c r="B4" s="104" t="s">
        <v>216</v>
      </c>
      <c r="C4" s="114" t="s">
        <v>217</v>
      </c>
      <c r="D4" s="114" t="s">
        <v>218</v>
      </c>
      <c r="E4" s="114" t="s">
        <v>219</v>
      </c>
      <c r="F4" s="114" t="s">
        <v>220</v>
      </c>
      <c r="G4" s="114" t="s">
        <v>221</v>
      </c>
      <c r="H4" s="114" t="s">
        <v>222</v>
      </c>
      <c r="I4" s="114" t="s">
        <v>223</v>
      </c>
      <c r="J4" s="114" t="s">
        <v>224</v>
      </c>
      <c r="K4" s="114" t="s">
        <v>225</v>
      </c>
      <c r="L4" s="114"/>
      <c r="M4" s="114" t="s">
        <v>226</v>
      </c>
      <c r="N4" s="114" t="s">
        <v>227</v>
      </c>
      <c r="O4" s="104" t="s">
        <v>214</v>
      </c>
    </row>
    <row r="5" spans="1:15" x14ac:dyDescent="0.25">
      <c r="A5">
        <v>2023</v>
      </c>
      <c r="B5" t="s">
        <v>19</v>
      </c>
      <c r="C5" s="112">
        <v>0</v>
      </c>
      <c r="D5" s="112">
        <v>148095.13</v>
      </c>
      <c r="E5" s="112">
        <v>142390.28</v>
      </c>
      <c r="F5" s="112">
        <v>26294.15</v>
      </c>
      <c r="G5" s="112">
        <v>116096.13</v>
      </c>
      <c r="H5" s="112">
        <v>-3001</v>
      </c>
      <c r="I5" s="112">
        <v>400</v>
      </c>
      <c r="J5" s="112">
        <v>35000</v>
      </c>
      <c r="K5" s="112">
        <v>148095.13</v>
      </c>
      <c r="M5" s="112">
        <f>G5+H5+J5</f>
        <v>148095.13</v>
      </c>
      <c r="N5" s="112">
        <f>K5-M5</f>
        <v>0</v>
      </c>
      <c r="O5" t="str">
        <f>IF(ABS(N5)&lt;= $B$2, "PASS", IF(ABS(N5)&lt;= ($B$2*10), "WARN", "FAIL"))</f>
        <v>PASS</v>
      </c>
    </row>
    <row r="6" spans="1:15" x14ac:dyDescent="0.25">
      <c r="A6">
        <v>2024</v>
      </c>
      <c r="B6" t="s">
        <v>22</v>
      </c>
      <c r="C6" s="112">
        <v>148095.13</v>
      </c>
      <c r="D6" s="112">
        <v>318405.90999999997</v>
      </c>
      <c r="E6" s="112">
        <v>210494.79</v>
      </c>
      <c r="F6" s="112">
        <v>40184.01</v>
      </c>
      <c r="G6" s="112">
        <v>170310.78</v>
      </c>
      <c r="H6" s="112">
        <v>0</v>
      </c>
      <c r="I6" s="112">
        <v>0</v>
      </c>
      <c r="J6" s="112">
        <v>0</v>
      </c>
      <c r="K6" s="112">
        <v>170310.78</v>
      </c>
      <c r="M6" s="112">
        <f>G6+H6+J6</f>
        <v>170310.78</v>
      </c>
      <c r="N6" s="112">
        <f>K6-M6</f>
        <v>0</v>
      </c>
      <c r="O6" t="str">
        <f>IF(ABS(N6)&lt;= $B$2, "PASS", IF(ABS(N6)&lt;= ($B$2*10), "WARN", "FAIL"))</f>
        <v>PASS</v>
      </c>
    </row>
    <row r="7" spans="1:15" x14ac:dyDescent="0.25">
      <c r="A7">
        <v>2025</v>
      </c>
      <c r="B7" t="s">
        <v>24</v>
      </c>
      <c r="C7" s="112">
        <v>318405.90999999997</v>
      </c>
      <c r="D7" s="112">
        <v>452742.35</v>
      </c>
      <c r="E7" s="112">
        <v>166081.93</v>
      </c>
      <c r="F7" s="112">
        <v>31745.57</v>
      </c>
      <c r="G7" s="112">
        <v>134336.35999999999</v>
      </c>
      <c r="H7" s="112">
        <v>0</v>
      </c>
      <c r="I7" s="112">
        <v>0</v>
      </c>
      <c r="J7" s="112">
        <v>0</v>
      </c>
      <c r="K7" s="112">
        <v>134336.44</v>
      </c>
      <c r="M7" s="112">
        <f>G7+H7+J7</f>
        <v>134336.35999999999</v>
      </c>
      <c r="N7" s="112">
        <f>K7-M7</f>
        <v>8.0000000016298145E-2</v>
      </c>
      <c r="O7" t="str">
        <f>IF(ABS(N7)&lt;= $B$2, "PASS", IF(ABS(N7)&lt;= ($B$2*10), "WARN", "FAIL"))</f>
        <v>PASS</v>
      </c>
    </row>
    <row r="8" spans="1:15" x14ac:dyDescent="0.25">
      <c r="A8">
        <v>2026</v>
      </c>
      <c r="B8" t="s">
        <v>26</v>
      </c>
      <c r="C8" s="112">
        <v>452742.35</v>
      </c>
      <c r="D8" s="112">
        <v>452742.35</v>
      </c>
      <c r="E8" s="112">
        <v>0</v>
      </c>
      <c r="F8" s="112">
        <v>0</v>
      </c>
      <c r="G8" s="112">
        <v>0</v>
      </c>
      <c r="H8" s="112">
        <v>0</v>
      </c>
      <c r="I8" s="112">
        <v>0</v>
      </c>
      <c r="J8" s="112">
        <v>0</v>
      </c>
      <c r="K8" s="112">
        <v>0</v>
      </c>
      <c r="M8" s="112">
        <f>G8+H8+J8</f>
        <v>0</v>
      </c>
      <c r="N8" s="112">
        <f>K8-M8</f>
        <v>0</v>
      </c>
      <c r="O8" t="str">
        <f>IF(ABS(N8)&lt;= $B$2, "PASS", IF(ABS(N8)&lt;= ($B$2*10), "WARN", "FAIL"))</f>
        <v>PASS</v>
      </c>
    </row>
  </sheetData>
  <conditionalFormatting sqref="E2">
    <cfRule type="cellIs" dxfId="5" priority="4" operator="equal">
      <formula>"FAIL"</formula>
    </cfRule>
    <cfRule type="cellIs" dxfId="4" priority="5" operator="equal">
      <formula>"WARN"</formula>
    </cfRule>
    <cfRule type="cellIs" dxfId="3" priority="6" operator="equal">
      <formula>"PASS"</formula>
    </cfRule>
  </conditionalFormatting>
  <conditionalFormatting sqref="O5:O8">
    <cfRule type="cellIs" dxfId="2" priority="1" operator="equal">
      <formula>"FAIL"</formula>
    </cfRule>
    <cfRule type="cellIs" dxfId="1" priority="2" operator="equal">
      <formula>"WARN"</formula>
    </cfRule>
    <cfRule type="cellIs" dxfId="0" priority="3" operator="equal">
      <formula>"PASS"</formula>
    </cfRule>
  </conditionalFormatting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Flow</vt:lpstr>
      <vt:lpstr>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Monnox</cp:lastModifiedBy>
  <dcterms:created xsi:type="dcterms:W3CDTF">2026-10-07T15:46:01Z</dcterms:created>
  <dcterms:modified xsi:type="dcterms:W3CDTF">2026-10-07T15:53:12Z</dcterms:modified>
</cp:coreProperties>
</file>