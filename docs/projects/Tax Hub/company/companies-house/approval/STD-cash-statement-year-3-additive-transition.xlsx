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an\source\repos\tradecontrol.web\.local\companies-house\"/>
    </mc:Choice>
  </mc:AlternateContent>
  <xr:revisionPtr revIDLastSave="0" documentId="13_ncr:1_{D3093CE8-C6BF-49A3-BE65-1446BA2DD62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ash Flow" sheetId="1" r:id="rId1"/>
    <sheet name="Reconciliatio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1" l="1"/>
  <c r="AC7" i="1"/>
  <c r="AC8" i="1" s="1"/>
  <c r="AP7" i="1"/>
  <c r="AP8" i="1" s="1"/>
  <c r="BC7" i="1"/>
  <c r="BP7" i="1"/>
  <c r="D8" i="1"/>
  <c r="E8" i="1"/>
  <c r="F8" i="1"/>
  <c r="G8" i="1"/>
  <c r="G72" i="1" s="1"/>
  <c r="H8" i="1"/>
  <c r="H72" i="1" s="1"/>
  <c r="I8" i="1"/>
  <c r="J8" i="1"/>
  <c r="K8" i="1"/>
  <c r="L8" i="1"/>
  <c r="M8" i="1"/>
  <c r="N8" i="1"/>
  <c r="O8" i="1"/>
  <c r="O72" i="1" s="1"/>
  <c r="P8" i="1"/>
  <c r="P72" i="1" s="1"/>
  <c r="Q8" i="1"/>
  <c r="R8" i="1"/>
  <c r="S8" i="1"/>
  <c r="T8" i="1"/>
  <c r="U8" i="1"/>
  <c r="V8" i="1"/>
  <c r="W8" i="1"/>
  <c r="W72" i="1" s="1"/>
  <c r="X8" i="1"/>
  <c r="X72" i="1" s="1"/>
  <c r="Y8" i="1"/>
  <c r="Z8" i="1"/>
  <c r="AA8" i="1"/>
  <c r="AB8" i="1"/>
  <c r="AD8" i="1"/>
  <c r="AE8" i="1"/>
  <c r="AE72" i="1" s="1"/>
  <c r="AF8" i="1"/>
  <c r="AF72" i="1" s="1"/>
  <c r="AG8" i="1"/>
  <c r="AH8" i="1"/>
  <c r="AI8" i="1"/>
  <c r="AJ8" i="1"/>
  <c r="AK8" i="1"/>
  <c r="AL8" i="1"/>
  <c r="AM8" i="1"/>
  <c r="AM72" i="1" s="1"/>
  <c r="AN8" i="1"/>
  <c r="AN72" i="1" s="1"/>
  <c r="AO8" i="1"/>
  <c r="AQ8" i="1"/>
  <c r="AR8" i="1"/>
  <c r="AS8" i="1"/>
  <c r="AT8" i="1"/>
  <c r="AU8" i="1"/>
  <c r="AU72" i="1" s="1"/>
  <c r="AU83" i="1" s="1"/>
  <c r="AV8" i="1"/>
  <c r="AW8" i="1"/>
  <c r="AX8" i="1"/>
  <c r="AY8" i="1"/>
  <c r="AZ8" i="1"/>
  <c r="BA8" i="1"/>
  <c r="BB8" i="1"/>
  <c r="BC8" i="1"/>
  <c r="BC72" i="1" s="1"/>
  <c r="BD8" i="1"/>
  <c r="BE8" i="1"/>
  <c r="BF8" i="1"/>
  <c r="BG8" i="1"/>
  <c r="BH8" i="1"/>
  <c r="BI8" i="1"/>
  <c r="BJ8" i="1"/>
  <c r="BK8" i="1"/>
  <c r="BK72" i="1" s="1"/>
  <c r="BL8" i="1"/>
  <c r="BM8" i="1"/>
  <c r="BN8" i="1"/>
  <c r="BO8" i="1"/>
  <c r="BP8" i="1"/>
  <c r="P11" i="1"/>
  <c r="AC11" i="1"/>
  <c r="AP11" i="1"/>
  <c r="BC11" i="1"/>
  <c r="BC12" i="1" s="1"/>
  <c r="BC73" i="1" s="1"/>
  <c r="BP11" i="1"/>
  <c r="BP12" i="1" s="1"/>
  <c r="D12" i="1"/>
  <c r="E12" i="1"/>
  <c r="E73" i="1" s="1"/>
  <c r="F12" i="1"/>
  <c r="G12" i="1"/>
  <c r="H12" i="1"/>
  <c r="I12" i="1"/>
  <c r="J12" i="1"/>
  <c r="K12" i="1"/>
  <c r="L12" i="1"/>
  <c r="M12" i="1"/>
  <c r="M73" i="1" s="1"/>
  <c r="N12" i="1"/>
  <c r="O12" i="1"/>
  <c r="P12" i="1"/>
  <c r="Q12" i="1"/>
  <c r="R12" i="1"/>
  <c r="R73" i="1" s="1"/>
  <c r="S12" i="1"/>
  <c r="T12" i="1"/>
  <c r="U12" i="1"/>
  <c r="U73" i="1" s="1"/>
  <c r="V12" i="1"/>
  <c r="W12" i="1"/>
  <c r="X12" i="1"/>
  <c r="Y12" i="1"/>
  <c r="Z12" i="1"/>
  <c r="Z73" i="1" s="1"/>
  <c r="AA12" i="1"/>
  <c r="AB12" i="1"/>
  <c r="AC12" i="1"/>
  <c r="AC73" i="1" s="1"/>
  <c r="AD12" i="1"/>
  <c r="AE12" i="1"/>
  <c r="AF12" i="1"/>
  <c r="AG12" i="1"/>
  <c r="AG123" i="1" s="1"/>
  <c r="AH12" i="1"/>
  <c r="AH73" i="1" s="1"/>
  <c r="AI12" i="1"/>
  <c r="AJ12" i="1"/>
  <c r="AK12" i="1"/>
  <c r="AK73" i="1" s="1"/>
  <c r="AL12" i="1"/>
  <c r="AM12" i="1"/>
  <c r="AN12" i="1"/>
  <c r="AO12" i="1"/>
  <c r="AP12" i="1"/>
  <c r="AP73" i="1" s="1"/>
  <c r="AQ12" i="1"/>
  <c r="AR12" i="1"/>
  <c r="AS12" i="1"/>
  <c r="AS73" i="1" s="1"/>
  <c r="AT12" i="1"/>
  <c r="AU12" i="1"/>
  <c r="AV12" i="1"/>
  <c r="AW12" i="1"/>
  <c r="AW73" i="1" s="1"/>
  <c r="AX12" i="1"/>
  <c r="AX73" i="1" s="1"/>
  <c r="AY12" i="1"/>
  <c r="AZ12" i="1"/>
  <c r="BA12" i="1"/>
  <c r="BA73" i="1" s="1"/>
  <c r="BB12" i="1"/>
  <c r="BD12" i="1"/>
  <c r="BE12" i="1"/>
  <c r="BF12" i="1"/>
  <c r="BF73" i="1" s="1"/>
  <c r="BG12" i="1"/>
  <c r="BH12" i="1"/>
  <c r="BI12" i="1"/>
  <c r="BI73" i="1" s="1"/>
  <c r="BJ12" i="1"/>
  <c r="BK12" i="1"/>
  <c r="BL12" i="1"/>
  <c r="BM12" i="1"/>
  <c r="BN12" i="1"/>
  <c r="BN73" i="1" s="1"/>
  <c r="BO12" i="1"/>
  <c r="P15" i="1"/>
  <c r="P16" i="1" s="1"/>
  <c r="AC15" i="1"/>
  <c r="AP15" i="1"/>
  <c r="BC15" i="1"/>
  <c r="BP15" i="1"/>
  <c r="D16" i="1"/>
  <c r="D74" i="1" s="1"/>
  <c r="E16" i="1"/>
  <c r="E74" i="1" s="1"/>
  <c r="F16" i="1"/>
  <c r="G16" i="1"/>
  <c r="H16" i="1"/>
  <c r="I16" i="1"/>
  <c r="J16" i="1"/>
  <c r="K16" i="1"/>
  <c r="L16" i="1"/>
  <c r="L74" i="1" s="1"/>
  <c r="M16" i="1"/>
  <c r="M74" i="1" s="1"/>
  <c r="N16" i="1"/>
  <c r="O16" i="1"/>
  <c r="Q16" i="1"/>
  <c r="R16" i="1"/>
  <c r="S16" i="1"/>
  <c r="T16" i="1"/>
  <c r="T74" i="1" s="1"/>
  <c r="U16" i="1"/>
  <c r="U74" i="1" s="1"/>
  <c r="V16" i="1"/>
  <c r="W16" i="1"/>
  <c r="X16" i="1"/>
  <c r="Y16" i="1"/>
  <c r="Z16" i="1"/>
  <c r="AA16" i="1"/>
  <c r="AB16" i="1"/>
  <c r="AB74" i="1" s="1"/>
  <c r="AC16" i="1"/>
  <c r="AC74" i="1" s="1"/>
  <c r="AD16" i="1"/>
  <c r="AE16" i="1"/>
  <c r="AE74" i="1" s="1"/>
  <c r="AF16" i="1"/>
  <c r="AG16" i="1"/>
  <c r="AH16" i="1"/>
  <c r="AI16" i="1"/>
  <c r="AJ16" i="1"/>
  <c r="AJ74" i="1" s="1"/>
  <c r="AK16" i="1"/>
  <c r="AK74" i="1" s="1"/>
  <c r="AL16" i="1"/>
  <c r="AM16" i="1"/>
  <c r="AM74" i="1" s="1"/>
  <c r="AN16" i="1"/>
  <c r="AO16" i="1"/>
  <c r="AP16" i="1"/>
  <c r="AQ16" i="1"/>
  <c r="AR16" i="1"/>
  <c r="AR74" i="1" s="1"/>
  <c r="AS16" i="1"/>
  <c r="AS74" i="1" s="1"/>
  <c r="AT16" i="1"/>
  <c r="AU16" i="1"/>
  <c r="AU123" i="1" s="1"/>
  <c r="AV16" i="1"/>
  <c r="AW16" i="1"/>
  <c r="AX16" i="1"/>
  <c r="AY16" i="1"/>
  <c r="AZ16" i="1"/>
  <c r="AZ74" i="1" s="1"/>
  <c r="BA16" i="1"/>
  <c r="BA74" i="1" s="1"/>
  <c r="BB16" i="1"/>
  <c r="BC16" i="1"/>
  <c r="BC123" i="1" s="1"/>
  <c r="BD16" i="1"/>
  <c r="BE16" i="1"/>
  <c r="BF16" i="1"/>
  <c r="BG16" i="1"/>
  <c r="BH16" i="1"/>
  <c r="BH74" i="1" s="1"/>
  <c r="BI16" i="1"/>
  <c r="BI74" i="1" s="1"/>
  <c r="BJ16" i="1"/>
  <c r="BK16" i="1"/>
  <c r="BK74" i="1" s="1"/>
  <c r="BL16" i="1"/>
  <c r="BM16" i="1"/>
  <c r="BN16" i="1"/>
  <c r="BO16" i="1"/>
  <c r="BP16" i="1"/>
  <c r="BP74" i="1" s="1"/>
  <c r="P19" i="1"/>
  <c r="AC19" i="1"/>
  <c r="AP19" i="1"/>
  <c r="AP22" i="1" s="1"/>
  <c r="BC19" i="1"/>
  <c r="BP19" i="1"/>
  <c r="P20" i="1"/>
  <c r="AC20" i="1"/>
  <c r="AC22" i="1" s="1"/>
  <c r="AC75" i="1" s="1"/>
  <c r="AP20" i="1"/>
  <c r="BC20" i="1"/>
  <c r="BP20" i="1"/>
  <c r="P21" i="1"/>
  <c r="AC21" i="1"/>
  <c r="AP21" i="1"/>
  <c r="BC21" i="1"/>
  <c r="BP21" i="1"/>
  <c r="D22" i="1"/>
  <c r="D75" i="1" s="1"/>
  <c r="E22" i="1"/>
  <c r="F22" i="1"/>
  <c r="G22" i="1"/>
  <c r="G75" i="1" s="1"/>
  <c r="H22" i="1"/>
  <c r="I22" i="1"/>
  <c r="J22" i="1"/>
  <c r="K22" i="1"/>
  <c r="K75" i="1" s="1"/>
  <c r="L22" i="1"/>
  <c r="L75" i="1" s="1"/>
  <c r="M22" i="1"/>
  <c r="N22" i="1"/>
  <c r="O22" i="1"/>
  <c r="O75" i="1" s="1"/>
  <c r="Q22" i="1"/>
  <c r="R22" i="1"/>
  <c r="S22" i="1"/>
  <c r="S75" i="1" s="1"/>
  <c r="T22" i="1"/>
  <c r="T75" i="1" s="1"/>
  <c r="U22" i="1"/>
  <c r="V22" i="1"/>
  <c r="W22" i="1"/>
  <c r="X22" i="1"/>
  <c r="Y22" i="1"/>
  <c r="Z22" i="1"/>
  <c r="AA22" i="1"/>
  <c r="AA75" i="1" s="1"/>
  <c r="AB22" i="1"/>
  <c r="AB75" i="1" s="1"/>
  <c r="AD22" i="1"/>
  <c r="AE22" i="1"/>
  <c r="AE75" i="1" s="1"/>
  <c r="AF22" i="1"/>
  <c r="AG22" i="1"/>
  <c r="AH22" i="1"/>
  <c r="AI22" i="1"/>
  <c r="AI75" i="1" s="1"/>
  <c r="AJ22" i="1"/>
  <c r="AJ75" i="1" s="1"/>
  <c r="AK22" i="1"/>
  <c r="AK75" i="1" s="1"/>
  <c r="AL22" i="1"/>
  <c r="AM22" i="1"/>
  <c r="AM75" i="1" s="1"/>
  <c r="AN22" i="1"/>
  <c r="AO22" i="1"/>
  <c r="AQ22" i="1"/>
  <c r="AQ75" i="1" s="1"/>
  <c r="AR22" i="1"/>
  <c r="AR75" i="1" s="1"/>
  <c r="AS22" i="1"/>
  <c r="AS75" i="1" s="1"/>
  <c r="AT22" i="1"/>
  <c r="AU22" i="1"/>
  <c r="AV22" i="1"/>
  <c r="AW22" i="1"/>
  <c r="AX22" i="1"/>
  <c r="AY22" i="1"/>
  <c r="AY75" i="1" s="1"/>
  <c r="AZ22" i="1"/>
  <c r="AZ75" i="1" s="1"/>
  <c r="BA22" i="1"/>
  <c r="BA75" i="1" s="1"/>
  <c r="BB22" i="1"/>
  <c r="BC22" i="1"/>
  <c r="BC75" i="1" s="1"/>
  <c r="BD22" i="1"/>
  <c r="BE22" i="1"/>
  <c r="BF22" i="1"/>
  <c r="BG22" i="1"/>
  <c r="BG75" i="1" s="1"/>
  <c r="BH22" i="1"/>
  <c r="BH75" i="1" s="1"/>
  <c r="BI22" i="1"/>
  <c r="BI75" i="1" s="1"/>
  <c r="BJ22" i="1"/>
  <c r="BK22" i="1"/>
  <c r="BL22" i="1"/>
  <c r="BM22" i="1"/>
  <c r="BN22" i="1"/>
  <c r="BO22" i="1"/>
  <c r="BO75" i="1" s="1"/>
  <c r="BP22" i="1"/>
  <c r="BP75" i="1" s="1"/>
  <c r="P25" i="1"/>
  <c r="P26" i="1" s="1"/>
  <c r="P76" i="1" s="1"/>
  <c r="AC25" i="1"/>
  <c r="AP25" i="1"/>
  <c r="AP26" i="1" s="1"/>
  <c r="AP76" i="1" s="1"/>
  <c r="BC25" i="1"/>
  <c r="BP25" i="1"/>
  <c r="D26" i="1"/>
  <c r="E26" i="1"/>
  <c r="F26" i="1"/>
  <c r="G26" i="1"/>
  <c r="H26" i="1"/>
  <c r="I26" i="1"/>
  <c r="I76" i="1" s="1"/>
  <c r="J26" i="1"/>
  <c r="K26" i="1"/>
  <c r="L26" i="1"/>
  <c r="M26" i="1"/>
  <c r="N26" i="1"/>
  <c r="O26" i="1"/>
  <c r="Q26" i="1"/>
  <c r="R26" i="1"/>
  <c r="S26" i="1"/>
  <c r="T26" i="1"/>
  <c r="U26" i="1"/>
  <c r="U76" i="1" s="1"/>
  <c r="V26" i="1"/>
  <c r="W26" i="1"/>
  <c r="X26" i="1"/>
  <c r="Y26" i="1"/>
  <c r="Z26" i="1"/>
  <c r="AA26" i="1"/>
  <c r="AB26" i="1"/>
  <c r="AC26" i="1"/>
  <c r="AC76" i="1" s="1"/>
  <c r="AD26" i="1"/>
  <c r="AE26" i="1"/>
  <c r="AF26" i="1"/>
  <c r="AG26" i="1"/>
  <c r="AH26" i="1"/>
  <c r="AI26" i="1"/>
  <c r="AJ26" i="1"/>
  <c r="AK26" i="1"/>
  <c r="AK76" i="1" s="1"/>
  <c r="AL26" i="1"/>
  <c r="AM26" i="1"/>
  <c r="AN26" i="1"/>
  <c r="AO26" i="1"/>
  <c r="AQ26" i="1"/>
  <c r="AR26" i="1"/>
  <c r="AS26" i="1"/>
  <c r="AS76" i="1" s="1"/>
  <c r="AT26" i="1"/>
  <c r="AU26" i="1"/>
  <c r="AV26" i="1"/>
  <c r="AW26" i="1"/>
  <c r="AX26" i="1"/>
  <c r="AY26" i="1"/>
  <c r="AZ26" i="1"/>
  <c r="BA26" i="1"/>
  <c r="BA76" i="1" s="1"/>
  <c r="BB26" i="1"/>
  <c r="BC26" i="1"/>
  <c r="BD26" i="1"/>
  <c r="BE26" i="1"/>
  <c r="BF26" i="1"/>
  <c r="BG26" i="1"/>
  <c r="BH26" i="1"/>
  <c r="BI26" i="1"/>
  <c r="BI76" i="1" s="1"/>
  <c r="BJ26" i="1"/>
  <c r="BK26" i="1"/>
  <c r="BL26" i="1"/>
  <c r="BM26" i="1"/>
  <c r="BN26" i="1"/>
  <c r="BO26" i="1"/>
  <c r="BP26" i="1"/>
  <c r="P29" i="1"/>
  <c r="AC29" i="1"/>
  <c r="AC35" i="1" s="1"/>
  <c r="AC121" i="1" s="1"/>
  <c r="AP29" i="1"/>
  <c r="BC29" i="1"/>
  <c r="BP29" i="1"/>
  <c r="P30" i="1"/>
  <c r="AC30" i="1"/>
  <c r="AP30" i="1"/>
  <c r="BC30" i="1"/>
  <c r="BC35" i="1" s="1"/>
  <c r="BP30" i="1"/>
  <c r="P31" i="1"/>
  <c r="AC31" i="1"/>
  <c r="AP31" i="1"/>
  <c r="BC31" i="1"/>
  <c r="BP31" i="1"/>
  <c r="P32" i="1"/>
  <c r="AC32" i="1"/>
  <c r="AP32" i="1"/>
  <c r="AP35" i="1" s="1"/>
  <c r="AP77" i="1" s="1"/>
  <c r="BC32" i="1"/>
  <c r="BP32" i="1"/>
  <c r="P33" i="1"/>
  <c r="AC33" i="1"/>
  <c r="AP33" i="1"/>
  <c r="BC33" i="1"/>
  <c r="BP33" i="1"/>
  <c r="P34" i="1"/>
  <c r="AC34" i="1"/>
  <c r="AP34" i="1"/>
  <c r="BC34" i="1"/>
  <c r="BP34" i="1"/>
  <c r="D35" i="1"/>
  <c r="E35" i="1"/>
  <c r="F35" i="1"/>
  <c r="G35" i="1"/>
  <c r="G77" i="1" s="1"/>
  <c r="H35" i="1"/>
  <c r="I35" i="1"/>
  <c r="J35" i="1"/>
  <c r="J77" i="1" s="1"/>
  <c r="K35" i="1"/>
  <c r="L35" i="1"/>
  <c r="M35" i="1"/>
  <c r="N35" i="1"/>
  <c r="O35" i="1"/>
  <c r="O77" i="1" s="1"/>
  <c r="Q35" i="1"/>
  <c r="R35" i="1"/>
  <c r="R77" i="1" s="1"/>
  <c r="S35" i="1"/>
  <c r="T35" i="1"/>
  <c r="U35" i="1"/>
  <c r="V35" i="1"/>
  <c r="W35" i="1"/>
  <c r="W77" i="1" s="1"/>
  <c r="X35" i="1"/>
  <c r="Y35" i="1"/>
  <c r="Z35" i="1"/>
  <c r="Z77" i="1" s="1"/>
  <c r="AA35" i="1"/>
  <c r="AB35" i="1"/>
  <c r="AD35" i="1"/>
  <c r="AE35" i="1"/>
  <c r="AE77" i="1" s="1"/>
  <c r="AF35" i="1"/>
  <c r="AG35" i="1"/>
  <c r="AH35" i="1"/>
  <c r="AH77" i="1" s="1"/>
  <c r="AI35" i="1"/>
  <c r="AJ35" i="1"/>
  <c r="AK35" i="1"/>
  <c r="AL35" i="1"/>
  <c r="AM35" i="1"/>
  <c r="AM77" i="1" s="1"/>
  <c r="AN35" i="1"/>
  <c r="AO35" i="1"/>
  <c r="AQ35" i="1"/>
  <c r="AR35" i="1"/>
  <c r="AS35" i="1"/>
  <c r="AT35" i="1"/>
  <c r="AT77" i="1" s="1"/>
  <c r="AU35" i="1"/>
  <c r="AU77" i="1" s="1"/>
  <c r="AV35" i="1"/>
  <c r="AW35" i="1"/>
  <c r="AX35" i="1"/>
  <c r="AX77" i="1" s="1"/>
  <c r="AY35" i="1"/>
  <c r="AZ35" i="1"/>
  <c r="BA35" i="1"/>
  <c r="BB35" i="1"/>
  <c r="BB77" i="1" s="1"/>
  <c r="BD35" i="1"/>
  <c r="BE35" i="1"/>
  <c r="BF35" i="1"/>
  <c r="BF77" i="1" s="1"/>
  <c r="BG35" i="1"/>
  <c r="BH35" i="1"/>
  <c r="BI35" i="1"/>
  <c r="BJ35" i="1"/>
  <c r="BK35" i="1"/>
  <c r="BK77" i="1" s="1"/>
  <c r="BL35" i="1"/>
  <c r="BM35" i="1"/>
  <c r="BN35" i="1"/>
  <c r="BN77" i="1" s="1"/>
  <c r="BO35" i="1"/>
  <c r="P38" i="1"/>
  <c r="AC38" i="1"/>
  <c r="AP38" i="1"/>
  <c r="AP42" i="1" s="1"/>
  <c r="BC38" i="1"/>
  <c r="BP38" i="1"/>
  <c r="P39" i="1"/>
  <c r="P42" i="1" s="1"/>
  <c r="P78" i="1" s="1"/>
  <c r="AC39" i="1"/>
  <c r="AP39" i="1"/>
  <c r="BC39" i="1"/>
  <c r="BP39" i="1"/>
  <c r="BP42" i="1" s="1"/>
  <c r="BP78" i="1" s="1"/>
  <c r="P40" i="1"/>
  <c r="AC40" i="1"/>
  <c r="AP40" i="1"/>
  <c r="BC40" i="1"/>
  <c r="BP40" i="1"/>
  <c r="P41" i="1"/>
  <c r="AC41" i="1"/>
  <c r="AP41" i="1"/>
  <c r="BC41" i="1"/>
  <c r="BP41" i="1"/>
  <c r="D42" i="1"/>
  <c r="E42" i="1"/>
  <c r="E78" i="1" s="1"/>
  <c r="F42" i="1"/>
  <c r="G42" i="1"/>
  <c r="H42" i="1"/>
  <c r="I42" i="1"/>
  <c r="I78" i="1" s="1"/>
  <c r="J42" i="1"/>
  <c r="J78" i="1" s="1"/>
  <c r="K42" i="1"/>
  <c r="L42" i="1"/>
  <c r="M42" i="1"/>
  <c r="M78" i="1" s="1"/>
  <c r="N42" i="1"/>
  <c r="O42" i="1"/>
  <c r="Q42" i="1"/>
  <c r="Q78" i="1" s="1"/>
  <c r="R42" i="1"/>
  <c r="R78" i="1" s="1"/>
  <c r="S42" i="1"/>
  <c r="T42" i="1"/>
  <c r="U42" i="1"/>
  <c r="V42" i="1"/>
  <c r="W42" i="1"/>
  <c r="X42" i="1"/>
  <c r="Y42" i="1"/>
  <c r="Y78" i="1" s="1"/>
  <c r="Z42" i="1"/>
  <c r="Z78" i="1" s="1"/>
  <c r="AA42" i="1"/>
  <c r="AB42" i="1"/>
  <c r="AC42" i="1"/>
  <c r="AC78" i="1" s="1"/>
  <c r="AD42" i="1"/>
  <c r="AE42" i="1"/>
  <c r="AF42" i="1"/>
  <c r="AG42" i="1"/>
  <c r="AG78" i="1" s="1"/>
  <c r="AH42" i="1"/>
  <c r="AH78" i="1" s="1"/>
  <c r="AI42" i="1"/>
  <c r="AJ42" i="1"/>
  <c r="AK42" i="1"/>
  <c r="AK78" i="1" s="1"/>
  <c r="AL42" i="1"/>
  <c r="AM42" i="1"/>
  <c r="AN42" i="1"/>
  <c r="AO42" i="1"/>
  <c r="AO78" i="1" s="1"/>
  <c r="AQ42" i="1"/>
  <c r="AR42" i="1"/>
  <c r="AS42" i="1"/>
  <c r="AS78" i="1" s="1"/>
  <c r="AT42" i="1"/>
  <c r="AU42" i="1"/>
  <c r="AV42" i="1"/>
  <c r="AW42" i="1"/>
  <c r="AW78" i="1" s="1"/>
  <c r="AX42" i="1"/>
  <c r="AX78" i="1" s="1"/>
  <c r="AY42" i="1"/>
  <c r="AZ42" i="1"/>
  <c r="BA42" i="1"/>
  <c r="BA78" i="1" s="1"/>
  <c r="BB42" i="1"/>
  <c r="BD42" i="1"/>
  <c r="BE42" i="1"/>
  <c r="BE78" i="1" s="1"/>
  <c r="BF42" i="1"/>
  <c r="BF78" i="1" s="1"/>
  <c r="BG42" i="1"/>
  <c r="BH42" i="1"/>
  <c r="BI42" i="1"/>
  <c r="BJ42" i="1"/>
  <c r="BK42" i="1"/>
  <c r="BL42" i="1"/>
  <c r="BM42" i="1"/>
  <c r="BM78" i="1" s="1"/>
  <c r="BN42" i="1"/>
  <c r="BN78" i="1" s="1"/>
  <c r="BO42" i="1"/>
  <c r="P45" i="1"/>
  <c r="P53" i="1" s="1"/>
  <c r="AC45" i="1"/>
  <c r="AP45" i="1"/>
  <c r="BC45" i="1"/>
  <c r="BP45" i="1"/>
  <c r="P46" i="1"/>
  <c r="AC46" i="1"/>
  <c r="AP46" i="1"/>
  <c r="BC46" i="1"/>
  <c r="BC53" i="1" s="1"/>
  <c r="BC79" i="1" s="1"/>
  <c r="BP46" i="1"/>
  <c r="P47" i="1"/>
  <c r="AC47" i="1"/>
  <c r="AP47" i="1"/>
  <c r="BC47" i="1"/>
  <c r="BP47" i="1"/>
  <c r="P48" i="1"/>
  <c r="AC48" i="1"/>
  <c r="AP48" i="1"/>
  <c r="BC48" i="1"/>
  <c r="BP48" i="1"/>
  <c r="P49" i="1"/>
  <c r="AC49" i="1"/>
  <c r="AP49" i="1"/>
  <c r="BC49" i="1"/>
  <c r="BP49" i="1"/>
  <c r="BP53" i="1" s="1"/>
  <c r="BP79" i="1" s="1"/>
  <c r="P50" i="1"/>
  <c r="AC50" i="1"/>
  <c r="AP50" i="1"/>
  <c r="BC50" i="1"/>
  <c r="BP50" i="1"/>
  <c r="P51" i="1"/>
  <c r="AC51" i="1"/>
  <c r="AP51" i="1"/>
  <c r="BC51" i="1"/>
  <c r="BP51" i="1"/>
  <c r="P52" i="1"/>
  <c r="AC52" i="1"/>
  <c r="AP52" i="1"/>
  <c r="BC52" i="1"/>
  <c r="BP52" i="1"/>
  <c r="D53" i="1"/>
  <c r="D79" i="1" s="1"/>
  <c r="E53" i="1"/>
  <c r="F53" i="1"/>
  <c r="G53" i="1"/>
  <c r="H53" i="1"/>
  <c r="H79" i="1" s="1"/>
  <c r="I53" i="1"/>
  <c r="I79" i="1" s="1"/>
  <c r="J53" i="1"/>
  <c r="K53" i="1"/>
  <c r="L53" i="1"/>
  <c r="L79" i="1" s="1"/>
  <c r="M53" i="1"/>
  <c r="N53" i="1"/>
  <c r="O53" i="1"/>
  <c r="Q53" i="1"/>
  <c r="Q79" i="1" s="1"/>
  <c r="R53" i="1"/>
  <c r="S53" i="1"/>
  <c r="T53" i="1"/>
  <c r="U53" i="1"/>
  <c r="V53" i="1"/>
  <c r="W53" i="1"/>
  <c r="X53" i="1"/>
  <c r="X79" i="1" s="1"/>
  <c r="Y53" i="1"/>
  <c r="Y79" i="1" s="1"/>
  <c r="Z53" i="1"/>
  <c r="AA53" i="1"/>
  <c r="AB53" i="1"/>
  <c r="AD53" i="1"/>
  <c r="AE53" i="1"/>
  <c r="AF53" i="1"/>
  <c r="AG53" i="1"/>
  <c r="AG79" i="1" s="1"/>
  <c r="AH53" i="1"/>
  <c r="AI53" i="1"/>
  <c r="AJ53" i="1"/>
  <c r="AJ79" i="1" s="1"/>
  <c r="AK53" i="1"/>
  <c r="AL53" i="1"/>
  <c r="AM53" i="1"/>
  <c r="AN53" i="1"/>
  <c r="AO53" i="1"/>
  <c r="AO79" i="1" s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P56" i="1"/>
  <c r="AC56" i="1"/>
  <c r="AP56" i="1"/>
  <c r="BC56" i="1"/>
  <c r="BC59" i="1" s="1"/>
  <c r="BC80" i="1" s="1"/>
  <c r="BP56" i="1"/>
  <c r="P57" i="1"/>
  <c r="AC57" i="1"/>
  <c r="AP57" i="1"/>
  <c r="BC57" i="1"/>
  <c r="BP57" i="1"/>
  <c r="P58" i="1"/>
  <c r="AC58" i="1"/>
  <c r="AP58" i="1"/>
  <c r="BC58" i="1"/>
  <c r="BP58" i="1"/>
  <c r="D59" i="1"/>
  <c r="D80" i="1" s="1"/>
  <c r="E59" i="1"/>
  <c r="F59" i="1"/>
  <c r="G59" i="1"/>
  <c r="H59" i="1"/>
  <c r="I59" i="1"/>
  <c r="I80" i="1" s="1"/>
  <c r="J59" i="1"/>
  <c r="K59" i="1"/>
  <c r="L59" i="1"/>
  <c r="L80" i="1" s="1"/>
  <c r="M59" i="1"/>
  <c r="N59" i="1"/>
  <c r="O59" i="1"/>
  <c r="P59" i="1"/>
  <c r="P80" i="1" s="1"/>
  <c r="Q59" i="1"/>
  <c r="Q80" i="1" s="1"/>
  <c r="R59" i="1"/>
  <c r="S59" i="1"/>
  <c r="T59" i="1"/>
  <c r="T80" i="1" s="1"/>
  <c r="U59" i="1"/>
  <c r="V59" i="1"/>
  <c r="W59" i="1"/>
  <c r="X59" i="1"/>
  <c r="Y59" i="1"/>
  <c r="Y80" i="1" s="1"/>
  <c r="Z59" i="1"/>
  <c r="AA59" i="1"/>
  <c r="AB59" i="1"/>
  <c r="AB80" i="1" s="1"/>
  <c r="AD59" i="1"/>
  <c r="AE59" i="1"/>
  <c r="AF59" i="1"/>
  <c r="AF80" i="1" s="1"/>
  <c r="AG59" i="1"/>
  <c r="AH59" i="1"/>
  <c r="AI59" i="1"/>
  <c r="AJ59" i="1"/>
  <c r="AJ80" i="1" s="1"/>
  <c r="AK59" i="1"/>
  <c r="AL59" i="1"/>
  <c r="AM59" i="1"/>
  <c r="AN59" i="1"/>
  <c r="AN80" i="1" s="1"/>
  <c r="AO59" i="1"/>
  <c r="AQ59" i="1"/>
  <c r="AR59" i="1"/>
  <c r="AR80" i="1" s="1"/>
  <c r="AS59" i="1"/>
  <c r="AT59" i="1"/>
  <c r="AU59" i="1"/>
  <c r="AV59" i="1"/>
  <c r="AV80" i="1" s="1"/>
  <c r="AW59" i="1"/>
  <c r="AW80" i="1" s="1"/>
  <c r="AX59" i="1"/>
  <c r="AY59" i="1"/>
  <c r="AZ59" i="1"/>
  <c r="AZ80" i="1" s="1"/>
  <c r="BA59" i="1"/>
  <c r="BB59" i="1"/>
  <c r="BD59" i="1"/>
  <c r="BD80" i="1" s="1"/>
  <c r="BE59" i="1"/>
  <c r="BE80" i="1" s="1"/>
  <c r="BF59" i="1"/>
  <c r="BG59" i="1"/>
  <c r="BH59" i="1"/>
  <c r="BH80" i="1" s="1"/>
  <c r="BI59" i="1"/>
  <c r="BJ59" i="1"/>
  <c r="BK59" i="1"/>
  <c r="BL59" i="1"/>
  <c r="BL80" i="1" s="1"/>
  <c r="BM59" i="1"/>
  <c r="BN59" i="1"/>
  <c r="BO59" i="1"/>
  <c r="BP59" i="1"/>
  <c r="BP80" i="1" s="1"/>
  <c r="P62" i="1"/>
  <c r="AC62" i="1"/>
  <c r="AP62" i="1"/>
  <c r="BC62" i="1"/>
  <c r="BC63" i="1" s="1"/>
  <c r="BC81" i="1" s="1"/>
  <c r="BP62" i="1"/>
  <c r="BP63" i="1" s="1"/>
  <c r="BP81" i="1" s="1"/>
  <c r="D63" i="1"/>
  <c r="E63" i="1"/>
  <c r="F63" i="1"/>
  <c r="F81" i="1" s="1"/>
  <c r="G63" i="1"/>
  <c r="H63" i="1"/>
  <c r="I63" i="1"/>
  <c r="J63" i="1"/>
  <c r="K63" i="1"/>
  <c r="K81" i="1" s="1"/>
  <c r="L63" i="1"/>
  <c r="M63" i="1"/>
  <c r="N63" i="1"/>
  <c r="N81" i="1" s="1"/>
  <c r="O63" i="1"/>
  <c r="P63" i="1"/>
  <c r="Q63" i="1"/>
  <c r="R63" i="1"/>
  <c r="S63" i="1"/>
  <c r="S81" i="1" s="1"/>
  <c r="T63" i="1"/>
  <c r="U63" i="1"/>
  <c r="V63" i="1"/>
  <c r="V81" i="1" s="1"/>
  <c r="W63" i="1"/>
  <c r="X63" i="1"/>
  <c r="Y63" i="1"/>
  <c r="Z63" i="1"/>
  <c r="AA63" i="1"/>
  <c r="AA81" i="1" s="1"/>
  <c r="AB63" i="1"/>
  <c r="AC63" i="1"/>
  <c r="AD63" i="1"/>
  <c r="AD81" i="1" s="1"/>
  <c r="AE63" i="1"/>
  <c r="AF63" i="1"/>
  <c r="AG63" i="1"/>
  <c r="AH63" i="1"/>
  <c r="AI63" i="1"/>
  <c r="AI81" i="1" s="1"/>
  <c r="AJ63" i="1"/>
  <c r="AK63" i="1"/>
  <c r="AL63" i="1"/>
  <c r="AL81" i="1" s="1"/>
  <c r="AM63" i="1"/>
  <c r="AN63" i="1"/>
  <c r="AO63" i="1"/>
  <c r="AP63" i="1"/>
  <c r="AQ63" i="1"/>
  <c r="AQ81" i="1" s="1"/>
  <c r="AR63" i="1"/>
  <c r="AS63" i="1"/>
  <c r="AT63" i="1"/>
  <c r="AT81" i="1" s="1"/>
  <c r="AU63" i="1"/>
  <c r="AV63" i="1"/>
  <c r="AW63" i="1"/>
  <c r="AX63" i="1"/>
  <c r="AY63" i="1"/>
  <c r="AY81" i="1" s="1"/>
  <c r="AZ63" i="1"/>
  <c r="BA63" i="1"/>
  <c r="BB63" i="1"/>
  <c r="BB81" i="1" s="1"/>
  <c r="BD63" i="1"/>
  <c r="BE63" i="1"/>
  <c r="BF63" i="1"/>
  <c r="BG63" i="1"/>
  <c r="BG81" i="1" s="1"/>
  <c r="BH63" i="1"/>
  <c r="BI63" i="1"/>
  <c r="BJ63" i="1"/>
  <c r="BJ81" i="1" s="1"/>
  <c r="BK63" i="1"/>
  <c r="BL63" i="1"/>
  <c r="BM63" i="1"/>
  <c r="BN63" i="1"/>
  <c r="BO63" i="1"/>
  <c r="BO81" i="1" s="1"/>
  <c r="P66" i="1"/>
  <c r="P69" i="1" s="1"/>
  <c r="P82" i="1" s="1"/>
  <c r="AC66" i="1"/>
  <c r="AC69" i="1" s="1"/>
  <c r="AC82" i="1" s="1"/>
  <c r="AP66" i="1"/>
  <c r="BC66" i="1"/>
  <c r="BP66" i="1"/>
  <c r="P67" i="1"/>
  <c r="AC67" i="1"/>
  <c r="AP67" i="1"/>
  <c r="BC67" i="1"/>
  <c r="BC69" i="1" s="1"/>
  <c r="BP67" i="1"/>
  <c r="BP69" i="1" s="1"/>
  <c r="BP82" i="1" s="1"/>
  <c r="P68" i="1"/>
  <c r="AC68" i="1"/>
  <c r="AP68" i="1"/>
  <c r="BC68" i="1"/>
  <c r="BP68" i="1"/>
  <c r="D69" i="1"/>
  <c r="D82" i="1" s="1"/>
  <c r="E69" i="1"/>
  <c r="F69" i="1"/>
  <c r="F82" i="1" s="1"/>
  <c r="G69" i="1"/>
  <c r="H69" i="1"/>
  <c r="I69" i="1"/>
  <c r="J69" i="1"/>
  <c r="J82" i="1" s="1"/>
  <c r="K69" i="1"/>
  <c r="L69" i="1"/>
  <c r="L82" i="1" s="1"/>
  <c r="M69" i="1"/>
  <c r="N69" i="1"/>
  <c r="N82" i="1" s="1"/>
  <c r="O69" i="1"/>
  <c r="Q69" i="1"/>
  <c r="R69" i="1"/>
  <c r="S69" i="1"/>
  <c r="T69" i="1"/>
  <c r="T82" i="1" s="1"/>
  <c r="U69" i="1"/>
  <c r="V69" i="1"/>
  <c r="V82" i="1" s="1"/>
  <c r="W69" i="1"/>
  <c r="X69" i="1"/>
  <c r="Y69" i="1"/>
  <c r="Z69" i="1"/>
  <c r="AA69" i="1"/>
  <c r="AB69" i="1"/>
  <c r="AB82" i="1" s="1"/>
  <c r="AD69" i="1"/>
  <c r="AD82" i="1" s="1"/>
  <c r="AE69" i="1"/>
  <c r="AF69" i="1"/>
  <c r="AG69" i="1"/>
  <c r="AH69" i="1"/>
  <c r="AI69" i="1"/>
  <c r="AI82" i="1" s="1"/>
  <c r="AJ69" i="1"/>
  <c r="AJ82" i="1" s="1"/>
  <c r="AK69" i="1"/>
  <c r="AL69" i="1"/>
  <c r="AL82" i="1" s="1"/>
  <c r="AM69" i="1"/>
  <c r="AN69" i="1"/>
  <c r="AO69" i="1"/>
  <c r="AP69" i="1"/>
  <c r="AP82" i="1" s="1"/>
  <c r="AQ69" i="1"/>
  <c r="AQ82" i="1" s="1"/>
  <c r="AR69" i="1"/>
  <c r="AR82" i="1" s="1"/>
  <c r="AS69" i="1"/>
  <c r="AT69" i="1"/>
  <c r="AT82" i="1" s="1"/>
  <c r="AU69" i="1"/>
  <c r="AV69" i="1"/>
  <c r="AW69" i="1"/>
  <c r="AX69" i="1"/>
  <c r="AY69" i="1"/>
  <c r="AY82" i="1" s="1"/>
  <c r="AZ69" i="1"/>
  <c r="AZ82" i="1" s="1"/>
  <c r="BA69" i="1"/>
  <c r="BB69" i="1"/>
  <c r="BB82" i="1" s="1"/>
  <c r="BD69" i="1"/>
  <c r="BE69" i="1"/>
  <c r="BF69" i="1"/>
  <c r="BG69" i="1"/>
  <c r="BG82" i="1" s="1"/>
  <c r="BH69" i="1"/>
  <c r="BH82" i="1" s="1"/>
  <c r="BI69" i="1"/>
  <c r="BJ69" i="1"/>
  <c r="BJ82" i="1" s="1"/>
  <c r="BK69" i="1"/>
  <c r="BL69" i="1"/>
  <c r="BM69" i="1"/>
  <c r="BN69" i="1"/>
  <c r="BO69" i="1"/>
  <c r="BO82" i="1" s="1"/>
  <c r="D72" i="1"/>
  <c r="E72" i="1"/>
  <c r="F72" i="1"/>
  <c r="I72" i="1"/>
  <c r="J72" i="1"/>
  <c r="K72" i="1"/>
  <c r="L72" i="1"/>
  <c r="M72" i="1"/>
  <c r="N72" i="1"/>
  <c r="Q72" i="1"/>
  <c r="R72" i="1"/>
  <c r="S72" i="1"/>
  <c r="T72" i="1"/>
  <c r="U72" i="1"/>
  <c r="V72" i="1"/>
  <c r="Y72" i="1"/>
  <c r="Z72" i="1"/>
  <c r="AA72" i="1"/>
  <c r="AB72" i="1"/>
  <c r="AC72" i="1"/>
  <c r="AD72" i="1"/>
  <c r="AG72" i="1"/>
  <c r="AH72" i="1"/>
  <c r="AI72" i="1"/>
  <c r="AI83" i="1" s="1"/>
  <c r="AJ72" i="1"/>
  <c r="AK72" i="1"/>
  <c r="AL72" i="1"/>
  <c r="AO72" i="1"/>
  <c r="AP72" i="1"/>
  <c r="AQ72" i="1"/>
  <c r="AR72" i="1"/>
  <c r="AS72" i="1"/>
  <c r="AT72" i="1"/>
  <c r="AW72" i="1"/>
  <c r="AX72" i="1"/>
  <c r="AY72" i="1"/>
  <c r="AZ72" i="1"/>
  <c r="BA72" i="1"/>
  <c r="BB72" i="1"/>
  <c r="BE72" i="1"/>
  <c r="BF72" i="1"/>
  <c r="BG72" i="1"/>
  <c r="BH72" i="1"/>
  <c r="BI72" i="1"/>
  <c r="BJ72" i="1"/>
  <c r="BM72" i="1"/>
  <c r="BN72" i="1"/>
  <c r="BO72" i="1"/>
  <c r="BP72" i="1"/>
  <c r="D73" i="1"/>
  <c r="F73" i="1"/>
  <c r="G73" i="1"/>
  <c r="H73" i="1"/>
  <c r="K73" i="1"/>
  <c r="L73" i="1"/>
  <c r="N73" i="1"/>
  <c r="O73" i="1"/>
  <c r="P73" i="1"/>
  <c r="S73" i="1"/>
  <c r="T73" i="1"/>
  <c r="V73" i="1"/>
  <c r="W73" i="1"/>
  <c r="X73" i="1"/>
  <c r="AA73" i="1"/>
  <c r="AB73" i="1"/>
  <c r="AD73" i="1"/>
  <c r="AE73" i="1"/>
  <c r="AF73" i="1"/>
  <c r="AG73" i="1"/>
  <c r="AI73" i="1"/>
  <c r="AJ73" i="1"/>
  <c r="AL73" i="1"/>
  <c r="AM73" i="1"/>
  <c r="AN73" i="1"/>
  <c r="AQ73" i="1"/>
  <c r="AR73" i="1"/>
  <c r="AT73" i="1"/>
  <c r="AU73" i="1"/>
  <c r="AV73" i="1"/>
  <c r="AY73" i="1"/>
  <c r="AZ73" i="1"/>
  <c r="BB73" i="1"/>
  <c r="BD73" i="1"/>
  <c r="BE73" i="1"/>
  <c r="BG73" i="1"/>
  <c r="BH73" i="1"/>
  <c r="BJ73" i="1"/>
  <c r="BK73" i="1"/>
  <c r="BL73" i="1"/>
  <c r="BM73" i="1"/>
  <c r="BO73" i="1"/>
  <c r="BP73" i="1"/>
  <c r="F74" i="1"/>
  <c r="G74" i="1"/>
  <c r="H74" i="1"/>
  <c r="I74" i="1"/>
  <c r="J74" i="1"/>
  <c r="K74" i="1"/>
  <c r="N74" i="1"/>
  <c r="O74" i="1"/>
  <c r="O83" i="1" s="1"/>
  <c r="P74" i="1"/>
  <c r="Q74" i="1"/>
  <c r="R74" i="1"/>
  <c r="S74" i="1"/>
  <c r="V74" i="1"/>
  <c r="W74" i="1"/>
  <c r="X74" i="1"/>
  <c r="Y74" i="1"/>
  <c r="Z74" i="1"/>
  <c r="AA74" i="1"/>
  <c r="AD74" i="1"/>
  <c r="AF74" i="1"/>
  <c r="AG74" i="1"/>
  <c r="AH74" i="1"/>
  <c r="AI74" i="1"/>
  <c r="AL74" i="1"/>
  <c r="AN74" i="1"/>
  <c r="AO74" i="1"/>
  <c r="AP74" i="1"/>
  <c r="AQ74" i="1"/>
  <c r="AT74" i="1"/>
  <c r="AU74" i="1"/>
  <c r="AV74" i="1"/>
  <c r="AW74" i="1"/>
  <c r="AX74" i="1"/>
  <c r="AY74" i="1"/>
  <c r="BB74" i="1"/>
  <c r="BD74" i="1"/>
  <c r="BE74" i="1"/>
  <c r="BF74" i="1"/>
  <c r="BG74" i="1"/>
  <c r="BJ74" i="1"/>
  <c r="BL74" i="1"/>
  <c r="BM74" i="1"/>
  <c r="BN74" i="1"/>
  <c r="BO74" i="1"/>
  <c r="E75" i="1"/>
  <c r="F75" i="1"/>
  <c r="H75" i="1"/>
  <c r="I75" i="1"/>
  <c r="J75" i="1"/>
  <c r="M75" i="1"/>
  <c r="N75" i="1"/>
  <c r="Q75" i="1"/>
  <c r="R75" i="1"/>
  <c r="U75" i="1"/>
  <c r="V75" i="1"/>
  <c r="W75" i="1"/>
  <c r="X75" i="1"/>
  <c r="Y75" i="1"/>
  <c r="Z75" i="1"/>
  <c r="AD75" i="1"/>
  <c r="AF75" i="1"/>
  <c r="AG75" i="1"/>
  <c r="AH75" i="1"/>
  <c r="AL75" i="1"/>
  <c r="AL83" i="1" s="1"/>
  <c r="AN75" i="1"/>
  <c r="AO75" i="1"/>
  <c r="AT75" i="1"/>
  <c r="AU75" i="1"/>
  <c r="AV75" i="1"/>
  <c r="AW75" i="1"/>
  <c r="AX75" i="1"/>
  <c r="BB75" i="1"/>
  <c r="BD75" i="1"/>
  <c r="BE75" i="1"/>
  <c r="BF75" i="1"/>
  <c r="BJ75" i="1"/>
  <c r="BK75" i="1"/>
  <c r="BL75" i="1"/>
  <c r="BM75" i="1"/>
  <c r="BN75" i="1"/>
  <c r="D76" i="1"/>
  <c r="E76" i="1"/>
  <c r="F76" i="1"/>
  <c r="G76" i="1"/>
  <c r="H76" i="1"/>
  <c r="J76" i="1"/>
  <c r="K76" i="1"/>
  <c r="L76" i="1"/>
  <c r="M76" i="1"/>
  <c r="N76" i="1"/>
  <c r="O76" i="1"/>
  <c r="Q76" i="1"/>
  <c r="R76" i="1"/>
  <c r="S76" i="1"/>
  <c r="T76" i="1"/>
  <c r="V76" i="1"/>
  <c r="W76" i="1"/>
  <c r="X76" i="1"/>
  <c r="Y76" i="1"/>
  <c r="Z76" i="1"/>
  <c r="AA76" i="1"/>
  <c r="AB76" i="1"/>
  <c r="AD76" i="1"/>
  <c r="AE76" i="1"/>
  <c r="AF76" i="1"/>
  <c r="AG76" i="1"/>
  <c r="AH76" i="1"/>
  <c r="AI76" i="1"/>
  <c r="AJ76" i="1"/>
  <c r="AL76" i="1"/>
  <c r="AM76" i="1"/>
  <c r="AN76" i="1"/>
  <c r="AO76" i="1"/>
  <c r="AQ76" i="1"/>
  <c r="AR76" i="1"/>
  <c r="AU76" i="1"/>
  <c r="AV76" i="1"/>
  <c r="AW76" i="1"/>
  <c r="AX76" i="1"/>
  <c r="AY76" i="1"/>
  <c r="AZ76" i="1"/>
  <c r="BC76" i="1"/>
  <c r="BD76" i="1"/>
  <c r="BE76" i="1"/>
  <c r="BF76" i="1"/>
  <c r="BG76" i="1"/>
  <c r="BH76" i="1"/>
  <c r="BK76" i="1"/>
  <c r="BL76" i="1"/>
  <c r="BM76" i="1"/>
  <c r="BN76" i="1"/>
  <c r="BO76" i="1"/>
  <c r="BP76" i="1"/>
  <c r="D77" i="1"/>
  <c r="E77" i="1"/>
  <c r="H77" i="1"/>
  <c r="I77" i="1"/>
  <c r="K77" i="1"/>
  <c r="L77" i="1"/>
  <c r="M77" i="1"/>
  <c r="Q77" i="1"/>
  <c r="S77" i="1"/>
  <c r="T77" i="1"/>
  <c r="U77" i="1"/>
  <c r="X77" i="1"/>
  <c r="Y77" i="1"/>
  <c r="AA77" i="1"/>
  <c r="AB77" i="1"/>
  <c r="AD77" i="1"/>
  <c r="AF77" i="1"/>
  <c r="AG77" i="1"/>
  <c r="AI77" i="1"/>
  <c r="AJ77" i="1"/>
  <c r="AK77" i="1"/>
  <c r="AL77" i="1"/>
  <c r="AN77" i="1"/>
  <c r="AO77" i="1"/>
  <c r="AQ77" i="1"/>
  <c r="AR77" i="1"/>
  <c r="AS77" i="1"/>
  <c r="AV77" i="1"/>
  <c r="AW77" i="1"/>
  <c r="AY77" i="1"/>
  <c r="AZ77" i="1"/>
  <c r="BA77" i="1"/>
  <c r="BD77" i="1"/>
  <c r="BE77" i="1"/>
  <c r="BG77" i="1"/>
  <c r="BH77" i="1"/>
  <c r="BI77" i="1"/>
  <c r="BJ77" i="1"/>
  <c r="BL77" i="1"/>
  <c r="BM77" i="1"/>
  <c r="BO77" i="1"/>
  <c r="D78" i="1"/>
  <c r="F78" i="1"/>
  <c r="G78" i="1"/>
  <c r="H78" i="1"/>
  <c r="K78" i="1"/>
  <c r="L78" i="1"/>
  <c r="N78" i="1"/>
  <c r="O78" i="1"/>
  <c r="S78" i="1"/>
  <c r="T78" i="1"/>
  <c r="U78" i="1"/>
  <c r="V78" i="1"/>
  <c r="W78" i="1"/>
  <c r="X78" i="1"/>
  <c r="AA78" i="1"/>
  <c r="AB78" i="1"/>
  <c r="AD78" i="1"/>
  <c r="AE78" i="1"/>
  <c r="AF78" i="1"/>
  <c r="AI78" i="1"/>
  <c r="AJ78" i="1"/>
  <c r="AL78" i="1"/>
  <c r="AM78" i="1"/>
  <c r="AN78" i="1"/>
  <c r="AQ78" i="1"/>
  <c r="AR78" i="1"/>
  <c r="AT78" i="1"/>
  <c r="AU78" i="1"/>
  <c r="AV78" i="1"/>
  <c r="AY78" i="1"/>
  <c r="AZ78" i="1"/>
  <c r="BB78" i="1"/>
  <c r="BD78" i="1"/>
  <c r="BG78" i="1"/>
  <c r="BH78" i="1"/>
  <c r="BI78" i="1"/>
  <c r="BJ78" i="1"/>
  <c r="BK78" i="1"/>
  <c r="BL78" i="1"/>
  <c r="BO78" i="1"/>
  <c r="E79" i="1"/>
  <c r="F79" i="1"/>
  <c r="G79" i="1"/>
  <c r="J79" i="1"/>
  <c r="K79" i="1"/>
  <c r="M79" i="1"/>
  <c r="N79" i="1"/>
  <c r="O79" i="1"/>
  <c r="R79" i="1"/>
  <c r="S79" i="1"/>
  <c r="T79" i="1"/>
  <c r="U79" i="1"/>
  <c r="V79" i="1"/>
  <c r="W79" i="1"/>
  <c r="Z79" i="1"/>
  <c r="AA79" i="1"/>
  <c r="AB79" i="1"/>
  <c r="AD79" i="1"/>
  <c r="AE79" i="1"/>
  <c r="AH79" i="1"/>
  <c r="AI79" i="1"/>
  <c r="AK79" i="1"/>
  <c r="AL79" i="1"/>
  <c r="AM79" i="1"/>
  <c r="AQ79" i="1"/>
  <c r="AR79" i="1"/>
  <c r="AS79" i="1"/>
  <c r="AT79" i="1"/>
  <c r="AU79" i="1"/>
  <c r="AX79" i="1"/>
  <c r="AY79" i="1"/>
  <c r="AZ79" i="1"/>
  <c r="BA79" i="1"/>
  <c r="BB79" i="1"/>
  <c r="BF79" i="1"/>
  <c r="BG79" i="1"/>
  <c r="BH79" i="1"/>
  <c r="BI79" i="1"/>
  <c r="BJ79" i="1"/>
  <c r="BK79" i="1"/>
  <c r="BN79" i="1"/>
  <c r="BO79" i="1"/>
  <c r="E80" i="1"/>
  <c r="F80" i="1"/>
  <c r="G80" i="1"/>
  <c r="J80" i="1"/>
  <c r="K80" i="1"/>
  <c r="M80" i="1"/>
  <c r="N80" i="1"/>
  <c r="O80" i="1"/>
  <c r="R80" i="1"/>
  <c r="S80" i="1"/>
  <c r="U80" i="1"/>
  <c r="V80" i="1"/>
  <c r="W80" i="1"/>
  <c r="Z80" i="1"/>
  <c r="AA80" i="1"/>
  <c r="AD80" i="1"/>
  <c r="AE80" i="1"/>
  <c r="AG80" i="1"/>
  <c r="AH80" i="1"/>
  <c r="AI80" i="1"/>
  <c r="AK80" i="1"/>
  <c r="AL80" i="1"/>
  <c r="AM80" i="1"/>
  <c r="AO80" i="1"/>
  <c r="AQ80" i="1"/>
  <c r="AS80" i="1"/>
  <c r="AT80" i="1"/>
  <c r="AU80" i="1"/>
  <c r="AX80" i="1"/>
  <c r="AY80" i="1"/>
  <c r="BA80" i="1"/>
  <c r="BB80" i="1"/>
  <c r="BF80" i="1"/>
  <c r="BG80" i="1"/>
  <c r="BI80" i="1"/>
  <c r="BJ80" i="1"/>
  <c r="BK80" i="1"/>
  <c r="BM80" i="1"/>
  <c r="BN80" i="1"/>
  <c r="BO80" i="1"/>
  <c r="D81" i="1"/>
  <c r="E81" i="1"/>
  <c r="G81" i="1"/>
  <c r="H81" i="1"/>
  <c r="I81" i="1"/>
  <c r="J81" i="1"/>
  <c r="L81" i="1"/>
  <c r="M81" i="1"/>
  <c r="O81" i="1"/>
  <c r="P81" i="1"/>
  <c r="Q81" i="1"/>
  <c r="R81" i="1"/>
  <c r="T81" i="1"/>
  <c r="U81" i="1"/>
  <c r="W81" i="1"/>
  <c r="X81" i="1"/>
  <c r="Y81" i="1"/>
  <c r="Z81" i="1"/>
  <c r="AB81" i="1"/>
  <c r="AC81" i="1"/>
  <c r="AE81" i="1"/>
  <c r="AF81" i="1"/>
  <c r="AG81" i="1"/>
  <c r="AH81" i="1"/>
  <c r="AJ81" i="1"/>
  <c r="AK81" i="1"/>
  <c r="AM81" i="1"/>
  <c r="AN81" i="1"/>
  <c r="AO81" i="1"/>
  <c r="AP81" i="1"/>
  <c r="AR81" i="1"/>
  <c r="AS81" i="1"/>
  <c r="AU81" i="1"/>
  <c r="AV81" i="1"/>
  <c r="AW81" i="1"/>
  <c r="AX81" i="1"/>
  <c r="AZ81" i="1"/>
  <c r="BA81" i="1"/>
  <c r="BD81" i="1"/>
  <c r="BE81" i="1"/>
  <c r="BF81" i="1"/>
  <c r="BH81" i="1"/>
  <c r="BI81" i="1"/>
  <c r="BK81" i="1"/>
  <c r="BL81" i="1"/>
  <c r="BM81" i="1"/>
  <c r="BN81" i="1"/>
  <c r="E82" i="1"/>
  <c r="G82" i="1"/>
  <c r="H82" i="1"/>
  <c r="I82" i="1"/>
  <c r="K82" i="1"/>
  <c r="M82" i="1"/>
  <c r="O82" i="1"/>
  <c r="Q82" i="1"/>
  <c r="S82" i="1"/>
  <c r="U82" i="1"/>
  <c r="W82" i="1"/>
  <c r="X82" i="1"/>
  <c r="Y82" i="1"/>
  <c r="AA82" i="1"/>
  <c r="AE82" i="1"/>
  <c r="AF82" i="1"/>
  <c r="AG82" i="1"/>
  <c r="AK82" i="1"/>
  <c r="AM82" i="1"/>
  <c r="AN82" i="1"/>
  <c r="AO82" i="1"/>
  <c r="AS82" i="1"/>
  <c r="AU82" i="1"/>
  <c r="AV82" i="1"/>
  <c r="AW82" i="1"/>
  <c r="BA82" i="1"/>
  <c r="BC82" i="1"/>
  <c r="BD82" i="1"/>
  <c r="BE82" i="1"/>
  <c r="BI82" i="1"/>
  <c r="BK82" i="1"/>
  <c r="BL82" i="1"/>
  <c r="BM82" i="1"/>
  <c r="AD83" i="1"/>
  <c r="AE83" i="1"/>
  <c r="BK83" i="1"/>
  <c r="P86" i="1"/>
  <c r="AC86" i="1"/>
  <c r="AC87" i="1" s="1"/>
  <c r="AP86" i="1"/>
  <c r="BC86" i="1"/>
  <c r="BC87" i="1" s="1"/>
  <c r="BC110" i="1" s="1"/>
  <c r="BP86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R125" i="1" s="1"/>
  <c r="AS87" i="1"/>
  <c r="AT87" i="1"/>
  <c r="AU87" i="1"/>
  <c r="AV87" i="1"/>
  <c r="AW87" i="1"/>
  <c r="AX87" i="1"/>
  <c r="AY87" i="1"/>
  <c r="AZ87" i="1"/>
  <c r="AZ125" i="1" s="1"/>
  <c r="BA87" i="1"/>
  <c r="BB87" i="1"/>
  <c r="BD87" i="1"/>
  <c r="BD110" i="1" s="1"/>
  <c r="BE87" i="1"/>
  <c r="BF87" i="1"/>
  <c r="BG87" i="1"/>
  <c r="BH87" i="1"/>
  <c r="BI87" i="1"/>
  <c r="BJ87" i="1"/>
  <c r="BK87" i="1"/>
  <c r="BL87" i="1"/>
  <c r="BL110" i="1" s="1"/>
  <c r="BM87" i="1"/>
  <c r="BN87" i="1"/>
  <c r="BO87" i="1"/>
  <c r="BP87" i="1"/>
  <c r="P90" i="1"/>
  <c r="AC90" i="1"/>
  <c r="AP90" i="1"/>
  <c r="BC90" i="1"/>
  <c r="BC91" i="1" s="1"/>
  <c r="BC111" i="1" s="1"/>
  <c r="BP90" i="1"/>
  <c r="D91" i="1"/>
  <c r="E91" i="1"/>
  <c r="E111" i="1" s="1"/>
  <c r="F91" i="1"/>
  <c r="F111" i="1" s="1"/>
  <c r="G91" i="1"/>
  <c r="H91" i="1"/>
  <c r="I91" i="1"/>
  <c r="J91" i="1"/>
  <c r="J111" i="1" s="1"/>
  <c r="K91" i="1"/>
  <c r="L91" i="1"/>
  <c r="M91" i="1"/>
  <c r="M111" i="1" s="1"/>
  <c r="N91" i="1"/>
  <c r="N111" i="1" s="1"/>
  <c r="O91" i="1"/>
  <c r="P91" i="1"/>
  <c r="Q91" i="1"/>
  <c r="R91" i="1"/>
  <c r="S91" i="1"/>
  <c r="T91" i="1"/>
  <c r="U91" i="1"/>
  <c r="U111" i="1" s="1"/>
  <c r="V91" i="1"/>
  <c r="V111" i="1" s="1"/>
  <c r="W91" i="1"/>
  <c r="X91" i="1"/>
  <c r="Y91" i="1"/>
  <c r="Z91" i="1"/>
  <c r="AA91" i="1"/>
  <c r="AB91" i="1"/>
  <c r="AC91" i="1"/>
  <c r="AC111" i="1" s="1"/>
  <c r="AD91" i="1"/>
  <c r="AD111" i="1" s="1"/>
  <c r="AE91" i="1"/>
  <c r="AF91" i="1"/>
  <c r="AG91" i="1"/>
  <c r="AH91" i="1"/>
  <c r="AH111" i="1" s="1"/>
  <c r="AI91" i="1"/>
  <c r="AJ91" i="1"/>
  <c r="AK91" i="1"/>
  <c r="AK111" i="1" s="1"/>
  <c r="AL91" i="1"/>
  <c r="AL111" i="1" s="1"/>
  <c r="AM91" i="1"/>
  <c r="AN91" i="1"/>
  <c r="AO91" i="1"/>
  <c r="AP91" i="1"/>
  <c r="AP111" i="1" s="1"/>
  <c r="AQ91" i="1"/>
  <c r="AR91" i="1"/>
  <c r="AS91" i="1"/>
  <c r="AS111" i="1" s="1"/>
  <c r="AT91" i="1"/>
  <c r="AT111" i="1" s="1"/>
  <c r="AU91" i="1"/>
  <c r="AV91" i="1"/>
  <c r="AW91" i="1"/>
  <c r="AX91" i="1"/>
  <c r="AY91" i="1"/>
  <c r="AZ91" i="1"/>
  <c r="BA91" i="1"/>
  <c r="BA111" i="1" s="1"/>
  <c r="BB91" i="1"/>
  <c r="BB111" i="1" s="1"/>
  <c r="BD91" i="1"/>
  <c r="BE91" i="1"/>
  <c r="BF91" i="1"/>
  <c r="BG91" i="1"/>
  <c r="BH91" i="1"/>
  <c r="BI91" i="1"/>
  <c r="BI111" i="1" s="1"/>
  <c r="BJ91" i="1"/>
  <c r="BJ111" i="1" s="1"/>
  <c r="BK91" i="1"/>
  <c r="BL91" i="1"/>
  <c r="BM91" i="1"/>
  <c r="BN91" i="1"/>
  <c r="BN111" i="1" s="1"/>
  <c r="BO91" i="1"/>
  <c r="BP91" i="1"/>
  <c r="P94" i="1"/>
  <c r="AC94" i="1"/>
  <c r="AP94" i="1"/>
  <c r="BC94" i="1"/>
  <c r="BP94" i="1"/>
  <c r="D95" i="1"/>
  <c r="D112" i="1" s="1"/>
  <c r="E95" i="1"/>
  <c r="E112" i="1" s="1"/>
  <c r="F95" i="1"/>
  <c r="G95" i="1"/>
  <c r="H95" i="1"/>
  <c r="I95" i="1"/>
  <c r="J95" i="1"/>
  <c r="K95" i="1"/>
  <c r="L95" i="1"/>
  <c r="L112" i="1" s="1"/>
  <c r="M95" i="1"/>
  <c r="M112" i="1" s="1"/>
  <c r="N95" i="1"/>
  <c r="O95" i="1"/>
  <c r="P95" i="1"/>
  <c r="Q95" i="1"/>
  <c r="R95" i="1"/>
  <c r="S95" i="1"/>
  <c r="T95" i="1"/>
  <c r="T112" i="1" s="1"/>
  <c r="U95" i="1"/>
  <c r="U112" i="1" s="1"/>
  <c r="V95" i="1"/>
  <c r="W95" i="1"/>
  <c r="X95" i="1"/>
  <c r="Y95" i="1"/>
  <c r="Z95" i="1"/>
  <c r="AA95" i="1"/>
  <c r="AB95" i="1"/>
  <c r="AB112" i="1" s="1"/>
  <c r="AC95" i="1"/>
  <c r="AC112" i="1" s="1"/>
  <c r="AD95" i="1"/>
  <c r="AE95" i="1"/>
  <c r="AF95" i="1"/>
  <c r="AG95" i="1"/>
  <c r="AH95" i="1"/>
  <c r="AI95" i="1"/>
  <c r="AJ95" i="1"/>
  <c r="AJ112" i="1" s="1"/>
  <c r="AK95" i="1"/>
  <c r="AL95" i="1"/>
  <c r="AM95" i="1"/>
  <c r="AN95" i="1"/>
  <c r="AO95" i="1"/>
  <c r="AP95" i="1"/>
  <c r="AQ95" i="1"/>
  <c r="AR95" i="1"/>
  <c r="AR112" i="1" s="1"/>
  <c r="AS95" i="1"/>
  <c r="AT95" i="1"/>
  <c r="AU95" i="1"/>
  <c r="AV95" i="1"/>
  <c r="AW95" i="1"/>
  <c r="AX95" i="1"/>
  <c r="AY95" i="1"/>
  <c r="AZ95" i="1"/>
  <c r="AZ112" i="1" s="1"/>
  <c r="BA95" i="1"/>
  <c r="BB95" i="1"/>
  <c r="BC95" i="1"/>
  <c r="BD95" i="1"/>
  <c r="BE95" i="1"/>
  <c r="BF95" i="1"/>
  <c r="BG95" i="1"/>
  <c r="BH95" i="1"/>
  <c r="BH112" i="1" s="1"/>
  <c r="BI95" i="1"/>
  <c r="BJ95" i="1"/>
  <c r="BK95" i="1"/>
  <c r="BL95" i="1"/>
  <c r="BM95" i="1"/>
  <c r="BN95" i="1"/>
  <c r="BO95" i="1"/>
  <c r="BP95" i="1"/>
  <c r="BP112" i="1" s="1"/>
  <c r="P98" i="1"/>
  <c r="P99" i="1" s="1"/>
  <c r="AC98" i="1"/>
  <c r="AC99" i="1" s="1"/>
  <c r="AP98" i="1"/>
  <c r="BC98" i="1"/>
  <c r="BP98" i="1"/>
  <c r="D99" i="1"/>
  <c r="E99" i="1"/>
  <c r="F99" i="1"/>
  <c r="G99" i="1"/>
  <c r="H99" i="1"/>
  <c r="I99" i="1"/>
  <c r="J99" i="1"/>
  <c r="K99" i="1"/>
  <c r="L99" i="1"/>
  <c r="M99" i="1"/>
  <c r="N99" i="1"/>
  <c r="O99" i="1"/>
  <c r="Q99" i="1"/>
  <c r="R99" i="1"/>
  <c r="S99" i="1"/>
  <c r="T99" i="1"/>
  <c r="U99" i="1"/>
  <c r="V99" i="1"/>
  <c r="W99" i="1"/>
  <c r="X99" i="1"/>
  <c r="Y99" i="1"/>
  <c r="Z99" i="1"/>
  <c r="AA99" i="1"/>
  <c r="AB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P102" i="1"/>
  <c r="AC102" i="1"/>
  <c r="AC103" i="1" s="1"/>
  <c r="AC114" i="1" s="1"/>
  <c r="AP102" i="1"/>
  <c r="BC102" i="1"/>
  <c r="BC103" i="1" s="1"/>
  <c r="BC114" i="1" s="1"/>
  <c r="BP102" i="1"/>
  <c r="D103" i="1"/>
  <c r="E103" i="1"/>
  <c r="F103" i="1"/>
  <c r="G103" i="1"/>
  <c r="H103" i="1"/>
  <c r="H114" i="1" s="1"/>
  <c r="I103" i="1"/>
  <c r="I114" i="1" s="1"/>
  <c r="J103" i="1"/>
  <c r="J114" i="1" s="1"/>
  <c r="K103" i="1"/>
  <c r="K114" i="1" s="1"/>
  <c r="L103" i="1"/>
  <c r="M103" i="1"/>
  <c r="N103" i="1"/>
  <c r="O103" i="1"/>
  <c r="P103" i="1"/>
  <c r="P114" i="1" s="1"/>
  <c r="P116" i="1" s="1"/>
  <c r="Q103" i="1"/>
  <c r="Q114" i="1" s="1"/>
  <c r="R103" i="1"/>
  <c r="R114" i="1" s="1"/>
  <c r="S103" i="1"/>
  <c r="T103" i="1"/>
  <c r="U103" i="1"/>
  <c r="V103" i="1"/>
  <c r="W103" i="1"/>
  <c r="X103" i="1"/>
  <c r="X114" i="1" s="1"/>
  <c r="X116" i="1" s="1"/>
  <c r="Y103" i="1"/>
  <c r="Y114" i="1" s="1"/>
  <c r="Y116" i="1" s="1"/>
  <c r="Z103" i="1"/>
  <c r="Z114" i="1" s="1"/>
  <c r="AA103" i="1"/>
  <c r="AB103" i="1"/>
  <c r="AD103" i="1"/>
  <c r="AE103" i="1"/>
  <c r="AF103" i="1"/>
  <c r="AG103" i="1"/>
  <c r="AG114" i="1" s="1"/>
  <c r="AH103" i="1"/>
  <c r="AH114" i="1" s="1"/>
  <c r="AI103" i="1"/>
  <c r="AJ103" i="1"/>
  <c r="AK103" i="1"/>
  <c r="AL103" i="1"/>
  <c r="AM103" i="1"/>
  <c r="AN103" i="1"/>
  <c r="AO103" i="1"/>
  <c r="AO114" i="1" s="1"/>
  <c r="AO116" i="1" s="1"/>
  <c r="AP103" i="1"/>
  <c r="AP114" i="1" s="1"/>
  <c r="AQ103" i="1"/>
  <c r="AR103" i="1"/>
  <c r="AS103" i="1"/>
  <c r="AT103" i="1"/>
  <c r="AU103" i="1"/>
  <c r="AV103" i="1"/>
  <c r="AV114" i="1" s="1"/>
  <c r="AW103" i="1"/>
  <c r="AX103" i="1"/>
  <c r="AX114" i="1" s="1"/>
  <c r="AY103" i="1"/>
  <c r="AZ103" i="1"/>
  <c r="BA103" i="1"/>
  <c r="BB103" i="1"/>
  <c r="BD103" i="1"/>
  <c r="BD114" i="1" s="1"/>
  <c r="BE103" i="1"/>
  <c r="BE114" i="1" s="1"/>
  <c r="BF103" i="1"/>
  <c r="BF114" i="1" s="1"/>
  <c r="BG103" i="1"/>
  <c r="BG114" i="1" s="1"/>
  <c r="BH103" i="1"/>
  <c r="BI103" i="1"/>
  <c r="BJ103" i="1"/>
  <c r="BK103" i="1"/>
  <c r="BL103" i="1"/>
  <c r="BL114" i="1" s="1"/>
  <c r="BL116" i="1" s="1"/>
  <c r="BM103" i="1"/>
  <c r="BM114" i="1" s="1"/>
  <c r="BN103" i="1"/>
  <c r="BN114" i="1" s="1"/>
  <c r="BO103" i="1"/>
  <c r="BO114" i="1" s="1"/>
  <c r="BP103" i="1"/>
  <c r="P106" i="1"/>
  <c r="AC106" i="1"/>
  <c r="AP106" i="1"/>
  <c r="BC106" i="1"/>
  <c r="BC107" i="1" s="1"/>
  <c r="BP106" i="1"/>
  <c r="D107" i="1"/>
  <c r="D115" i="1" s="1"/>
  <c r="E107" i="1"/>
  <c r="E115" i="1" s="1"/>
  <c r="F107" i="1"/>
  <c r="G107" i="1"/>
  <c r="H107" i="1"/>
  <c r="I107" i="1"/>
  <c r="I115" i="1" s="1"/>
  <c r="J107" i="1"/>
  <c r="J115" i="1" s="1"/>
  <c r="K107" i="1"/>
  <c r="K115" i="1" s="1"/>
  <c r="L107" i="1"/>
  <c r="M107" i="1"/>
  <c r="M115" i="1" s="1"/>
  <c r="N107" i="1"/>
  <c r="O107" i="1"/>
  <c r="P107" i="1"/>
  <c r="Q107" i="1"/>
  <c r="Q115" i="1" s="1"/>
  <c r="R107" i="1"/>
  <c r="R115" i="1" s="1"/>
  <c r="S107" i="1"/>
  <c r="S115" i="1" s="1"/>
  <c r="T107" i="1"/>
  <c r="T115" i="1" s="1"/>
  <c r="U107" i="1"/>
  <c r="U115" i="1" s="1"/>
  <c r="V107" i="1"/>
  <c r="W107" i="1"/>
  <c r="X107" i="1"/>
  <c r="Y107" i="1"/>
  <c r="Y115" i="1" s="1"/>
  <c r="Z107" i="1"/>
  <c r="Z115" i="1" s="1"/>
  <c r="AA107" i="1"/>
  <c r="AA115" i="1" s="1"/>
  <c r="AB107" i="1"/>
  <c r="AB115" i="1" s="1"/>
  <c r="AC107" i="1"/>
  <c r="AC115" i="1" s="1"/>
  <c r="AD107" i="1"/>
  <c r="AE107" i="1"/>
  <c r="AF107" i="1"/>
  <c r="AG107" i="1"/>
  <c r="AG115" i="1" s="1"/>
  <c r="AH107" i="1"/>
  <c r="AI107" i="1"/>
  <c r="AI115" i="1" s="1"/>
  <c r="AJ107" i="1"/>
  <c r="AJ115" i="1" s="1"/>
  <c r="AK107" i="1"/>
  <c r="AK115" i="1" s="1"/>
  <c r="AL107" i="1"/>
  <c r="AL115" i="1" s="1"/>
  <c r="AM107" i="1"/>
  <c r="AN107" i="1"/>
  <c r="AO107" i="1"/>
  <c r="AP107" i="1"/>
  <c r="AQ107" i="1"/>
  <c r="AQ115" i="1" s="1"/>
  <c r="AR107" i="1"/>
  <c r="AR115" i="1" s="1"/>
  <c r="AS107" i="1"/>
  <c r="AS115" i="1" s="1"/>
  <c r="AT107" i="1"/>
  <c r="AT115" i="1" s="1"/>
  <c r="AU107" i="1"/>
  <c r="AV107" i="1"/>
  <c r="AW107" i="1"/>
  <c r="AX107" i="1"/>
  <c r="AY107" i="1"/>
  <c r="AY115" i="1" s="1"/>
  <c r="AZ107" i="1"/>
  <c r="AZ115" i="1" s="1"/>
  <c r="BA107" i="1"/>
  <c r="BA115" i="1" s="1"/>
  <c r="BB107" i="1"/>
  <c r="BB115" i="1" s="1"/>
  <c r="BD107" i="1"/>
  <c r="BE107" i="1"/>
  <c r="BF107" i="1"/>
  <c r="BG107" i="1"/>
  <c r="BG115" i="1" s="1"/>
  <c r="BH107" i="1"/>
  <c r="BH115" i="1" s="1"/>
  <c r="BI107" i="1"/>
  <c r="BI115" i="1" s="1"/>
  <c r="BJ107" i="1"/>
  <c r="BJ115" i="1" s="1"/>
  <c r="BK107" i="1"/>
  <c r="BL107" i="1"/>
  <c r="BM107" i="1"/>
  <c r="BN107" i="1"/>
  <c r="BO107" i="1"/>
  <c r="BO115" i="1" s="1"/>
  <c r="BP107" i="1"/>
  <c r="BP115" i="1" s="1"/>
  <c r="D110" i="1"/>
  <c r="E110" i="1"/>
  <c r="F110" i="1"/>
  <c r="G110" i="1"/>
  <c r="H110" i="1"/>
  <c r="I110" i="1"/>
  <c r="J110" i="1"/>
  <c r="J116" i="1" s="1"/>
  <c r="K110" i="1"/>
  <c r="K116" i="1" s="1"/>
  <c r="L110" i="1"/>
  <c r="M110" i="1"/>
  <c r="N110" i="1"/>
  <c r="O110" i="1"/>
  <c r="P110" i="1"/>
  <c r="Q110" i="1"/>
  <c r="R110" i="1"/>
  <c r="R116" i="1" s="1"/>
  <c r="S110" i="1"/>
  <c r="S116" i="1" s="1"/>
  <c r="T110" i="1"/>
  <c r="T116" i="1" s="1"/>
  <c r="U110" i="1"/>
  <c r="V110" i="1"/>
  <c r="W110" i="1"/>
  <c r="X110" i="1"/>
  <c r="Y110" i="1"/>
  <c r="Z110" i="1"/>
  <c r="Z116" i="1" s="1"/>
  <c r="AA110" i="1"/>
  <c r="AB110" i="1"/>
  <c r="AB116" i="1" s="1"/>
  <c r="AC110" i="1"/>
  <c r="AC116" i="1" s="1"/>
  <c r="AD110" i="1"/>
  <c r="AE110" i="1"/>
  <c r="AF110" i="1"/>
  <c r="AG110" i="1"/>
  <c r="AH110" i="1"/>
  <c r="AI110" i="1"/>
  <c r="AJ110" i="1"/>
  <c r="AJ116" i="1" s="1"/>
  <c r="AK110" i="1"/>
  <c r="AK116" i="1" s="1"/>
  <c r="AL110" i="1"/>
  <c r="AM110" i="1"/>
  <c r="AN110" i="1"/>
  <c r="AO110" i="1"/>
  <c r="AP110" i="1"/>
  <c r="AQ110" i="1"/>
  <c r="AR110" i="1"/>
  <c r="AR116" i="1" s="1"/>
  <c r="AS110" i="1"/>
  <c r="AT110" i="1"/>
  <c r="AU110" i="1"/>
  <c r="AV110" i="1"/>
  <c r="AW110" i="1"/>
  <c r="AX110" i="1"/>
  <c r="AY110" i="1"/>
  <c r="AZ110" i="1"/>
  <c r="AZ116" i="1" s="1"/>
  <c r="BA110" i="1"/>
  <c r="BA116" i="1" s="1"/>
  <c r="BB110" i="1"/>
  <c r="BE110" i="1"/>
  <c r="BF110" i="1"/>
  <c r="BG110" i="1"/>
  <c r="BH110" i="1"/>
  <c r="BH116" i="1" s="1"/>
  <c r="BI110" i="1"/>
  <c r="BJ110" i="1"/>
  <c r="BK110" i="1"/>
  <c r="BM110" i="1"/>
  <c r="BN110" i="1"/>
  <c r="BO110" i="1"/>
  <c r="BP110" i="1"/>
  <c r="D111" i="1"/>
  <c r="G111" i="1"/>
  <c r="H111" i="1"/>
  <c r="I111" i="1"/>
  <c r="K111" i="1"/>
  <c r="L111" i="1"/>
  <c r="O111" i="1"/>
  <c r="P111" i="1"/>
  <c r="Q111" i="1"/>
  <c r="Q116" i="1" s="1"/>
  <c r="R111" i="1"/>
  <c r="S111" i="1"/>
  <c r="T111" i="1"/>
  <c r="W111" i="1"/>
  <c r="X111" i="1"/>
  <c r="Y111" i="1"/>
  <c r="Z111" i="1"/>
  <c r="AA111" i="1"/>
  <c r="AB111" i="1"/>
  <c r="AE111" i="1"/>
  <c r="AF111" i="1"/>
  <c r="AG111" i="1"/>
  <c r="AI111" i="1"/>
  <c r="AJ111" i="1"/>
  <c r="AM111" i="1"/>
  <c r="AN111" i="1"/>
  <c r="AO111" i="1"/>
  <c r="AQ111" i="1"/>
  <c r="AR111" i="1"/>
  <c r="AU111" i="1"/>
  <c r="AV111" i="1"/>
  <c r="AW111" i="1"/>
  <c r="AX111" i="1"/>
  <c r="AY111" i="1"/>
  <c r="AZ111" i="1"/>
  <c r="BD111" i="1"/>
  <c r="BE111" i="1"/>
  <c r="BF111" i="1"/>
  <c r="BG111" i="1"/>
  <c r="BH111" i="1"/>
  <c r="BK111" i="1"/>
  <c r="BL111" i="1"/>
  <c r="BM111" i="1"/>
  <c r="BO111" i="1"/>
  <c r="BP111" i="1"/>
  <c r="F112" i="1"/>
  <c r="G112" i="1"/>
  <c r="H112" i="1"/>
  <c r="I112" i="1"/>
  <c r="J112" i="1"/>
  <c r="K112" i="1"/>
  <c r="N112" i="1"/>
  <c r="N116" i="1" s="1"/>
  <c r="O112" i="1"/>
  <c r="O116" i="1" s="1"/>
  <c r="P112" i="1"/>
  <c r="Q112" i="1"/>
  <c r="R112" i="1"/>
  <c r="S112" i="1"/>
  <c r="V112" i="1"/>
  <c r="W112" i="1"/>
  <c r="X112" i="1"/>
  <c r="Y112" i="1"/>
  <c r="Z112" i="1"/>
  <c r="AA112" i="1"/>
  <c r="AD112" i="1"/>
  <c r="AE112" i="1"/>
  <c r="AF112" i="1"/>
  <c r="AG112" i="1"/>
  <c r="AH112" i="1"/>
  <c r="AI112" i="1"/>
  <c r="AK112" i="1"/>
  <c r="AL112" i="1"/>
  <c r="AM112" i="1"/>
  <c r="AN112" i="1"/>
  <c r="AO112" i="1"/>
  <c r="AP112" i="1"/>
  <c r="AQ112" i="1"/>
  <c r="AS112" i="1"/>
  <c r="AT112" i="1"/>
  <c r="AU112" i="1"/>
  <c r="AV112" i="1"/>
  <c r="AW112" i="1"/>
  <c r="AX112" i="1"/>
  <c r="AY112" i="1"/>
  <c r="BA112" i="1"/>
  <c r="BB112" i="1"/>
  <c r="BB116" i="1" s="1"/>
  <c r="BC112" i="1"/>
  <c r="BD112" i="1"/>
  <c r="BE112" i="1"/>
  <c r="BF112" i="1"/>
  <c r="BG112" i="1"/>
  <c r="BI112" i="1"/>
  <c r="BJ112" i="1"/>
  <c r="BJ116" i="1" s="1"/>
  <c r="BK112" i="1"/>
  <c r="BK116" i="1" s="1"/>
  <c r="BL112" i="1"/>
  <c r="BM112" i="1"/>
  <c r="BN112" i="1"/>
  <c r="BO112" i="1"/>
  <c r="D113" i="1"/>
  <c r="E113" i="1"/>
  <c r="F113" i="1"/>
  <c r="F116" i="1" s="1"/>
  <c r="G113" i="1"/>
  <c r="G116" i="1" s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V116" i="1" s="1"/>
  <c r="W113" i="1"/>
  <c r="W116" i="1" s="1"/>
  <c r="X113" i="1"/>
  <c r="Y113" i="1"/>
  <c r="Z113" i="1"/>
  <c r="AA113" i="1"/>
  <c r="AB113" i="1"/>
  <c r="AC113" i="1"/>
  <c r="AD113" i="1"/>
  <c r="AD116" i="1" s="1"/>
  <c r="AE113" i="1"/>
  <c r="AE116" i="1" s="1"/>
  <c r="AF113" i="1"/>
  <c r="AG113" i="1"/>
  <c r="AH113" i="1"/>
  <c r="AI113" i="1"/>
  <c r="AJ113" i="1"/>
  <c r="AK113" i="1"/>
  <c r="AL113" i="1"/>
  <c r="AL116" i="1" s="1"/>
  <c r="AM113" i="1"/>
  <c r="AM116" i="1" s="1"/>
  <c r="AN113" i="1"/>
  <c r="AO113" i="1"/>
  <c r="AP113" i="1"/>
  <c r="AQ113" i="1"/>
  <c r="AR113" i="1"/>
  <c r="AS113" i="1"/>
  <c r="AT113" i="1"/>
  <c r="AT116" i="1" s="1"/>
  <c r="AU113" i="1"/>
  <c r="AU116" i="1" s="1"/>
  <c r="AV113" i="1"/>
  <c r="AW113" i="1"/>
  <c r="AX113" i="1"/>
  <c r="AY113" i="1"/>
  <c r="AZ113" i="1"/>
  <c r="BA113" i="1"/>
  <c r="BB113" i="1"/>
  <c r="BC113" i="1"/>
  <c r="BC116" i="1" s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P113" i="1"/>
  <c r="D114" i="1"/>
  <c r="E114" i="1"/>
  <c r="F114" i="1"/>
  <c r="G114" i="1"/>
  <c r="L114" i="1"/>
  <c r="M114" i="1"/>
  <c r="N114" i="1"/>
  <c r="O114" i="1"/>
  <c r="S114" i="1"/>
  <c r="T114" i="1"/>
  <c r="U114" i="1"/>
  <c r="V114" i="1"/>
  <c r="W114" i="1"/>
  <c r="AA114" i="1"/>
  <c r="AB114" i="1"/>
  <c r="AD114" i="1"/>
  <c r="AE114" i="1"/>
  <c r="AF114" i="1"/>
  <c r="AI114" i="1"/>
  <c r="AJ114" i="1"/>
  <c r="AK114" i="1"/>
  <c r="AL114" i="1"/>
  <c r="AM114" i="1"/>
  <c r="AN114" i="1"/>
  <c r="AQ114" i="1"/>
  <c r="AR114" i="1"/>
  <c r="AS114" i="1"/>
  <c r="AT114" i="1"/>
  <c r="AU114" i="1"/>
  <c r="AW114" i="1"/>
  <c r="AW116" i="1" s="1"/>
  <c r="AY114" i="1"/>
  <c r="AZ114" i="1"/>
  <c r="BA114" i="1"/>
  <c r="BB114" i="1"/>
  <c r="BH114" i="1"/>
  <c r="BI114" i="1"/>
  <c r="BJ114" i="1"/>
  <c r="BK114" i="1"/>
  <c r="BP114" i="1"/>
  <c r="F115" i="1"/>
  <c r="G115" i="1"/>
  <c r="H115" i="1"/>
  <c r="L115" i="1"/>
  <c r="N115" i="1"/>
  <c r="O115" i="1"/>
  <c r="P115" i="1"/>
  <c r="V115" i="1"/>
  <c r="W115" i="1"/>
  <c r="X115" i="1"/>
  <c r="AD115" i="1"/>
  <c r="AE115" i="1"/>
  <c r="AF115" i="1"/>
  <c r="AH115" i="1"/>
  <c r="AM115" i="1"/>
  <c r="AN115" i="1"/>
  <c r="AO115" i="1"/>
  <c r="AP115" i="1"/>
  <c r="AU115" i="1"/>
  <c r="AV115" i="1"/>
  <c r="AW115" i="1"/>
  <c r="AX115" i="1"/>
  <c r="BC115" i="1"/>
  <c r="BD115" i="1"/>
  <c r="BE115" i="1"/>
  <c r="BF115" i="1"/>
  <c r="BK115" i="1"/>
  <c r="BL115" i="1"/>
  <c r="BM115" i="1"/>
  <c r="BM116" i="1" s="1"/>
  <c r="BN115" i="1"/>
  <c r="H116" i="1"/>
  <c r="I116" i="1"/>
  <c r="AF116" i="1"/>
  <c r="AN116" i="1"/>
  <c r="AV116" i="1"/>
  <c r="BD116" i="1"/>
  <c r="BE116" i="1"/>
  <c r="A119" i="1"/>
  <c r="D119" i="1"/>
  <c r="E119" i="1"/>
  <c r="E124" i="1" s="1"/>
  <c r="F119" i="1"/>
  <c r="H119" i="1"/>
  <c r="I119" i="1"/>
  <c r="J119" i="1"/>
  <c r="K119" i="1"/>
  <c r="L119" i="1"/>
  <c r="M119" i="1"/>
  <c r="N119" i="1"/>
  <c r="Q119" i="1"/>
  <c r="R119" i="1"/>
  <c r="S119" i="1"/>
  <c r="T119" i="1"/>
  <c r="T124" i="1" s="1"/>
  <c r="U119" i="1"/>
  <c r="V119" i="1"/>
  <c r="W119" i="1"/>
  <c r="X119" i="1"/>
  <c r="Y119" i="1"/>
  <c r="Z119" i="1"/>
  <c r="AA119" i="1"/>
  <c r="AB119" i="1"/>
  <c r="AB124" i="1" s="1"/>
  <c r="AC119" i="1"/>
  <c r="AD119" i="1"/>
  <c r="AD124" i="1" s="1"/>
  <c r="AD125" i="1" s="1"/>
  <c r="AE119" i="1"/>
  <c r="AF119" i="1"/>
  <c r="AG119" i="1"/>
  <c r="AH119" i="1"/>
  <c r="AI119" i="1"/>
  <c r="AJ119" i="1"/>
  <c r="AJ124" i="1" s="1"/>
  <c r="AK119" i="1"/>
  <c r="AL119" i="1"/>
  <c r="AL124" i="1" s="1"/>
  <c r="AL125" i="1" s="1"/>
  <c r="AL143" i="1" s="1"/>
  <c r="AM119" i="1"/>
  <c r="AN119" i="1"/>
  <c r="AO119" i="1"/>
  <c r="AQ119" i="1"/>
  <c r="AR119" i="1"/>
  <c r="AS119" i="1"/>
  <c r="AT119" i="1"/>
  <c r="AU119" i="1"/>
  <c r="AU150" i="1" s="1"/>
  <c r="AW119" i="1"/>
  <c r="AX119" i="1"/>
  <c r="AY119" i="1"/>
  <c r="AZ119" i="1"/>
  <c r="BA119" i="1"/>
  <c r="BB119" i="1"/>
  <c r="BE119" i="1"/>
  <c r="BF119" i="1"/>
  <c r="BG119" i="1"/>
  <c r="BH119" i="1"/>
  <c r="BI119" i="1"/>
  <c r="BJ119" i="1"/>
  <c r="BK119" i="1"/>
  <c r="BM119" i="1"/>
  <c r="BN119" i="1"/>
  <c r="BO119" i="1"/>
  <c r="BP119" i="1"/>
  <c r="A120" i="1"/>
  <c r="D120" i="1"/>
  <c r="E120" i="1"/>
  <c r="F120" i="1"/>
  <c r="G120" i="1"/>
  <c r="H120" i="1"/>
  <c r="I120" i="1"/>
  <c r="I124" i="1" s="1"/>
  <c r="J120" i="1"/>
  <c r="K120" i="1"/>
  <c r="L120" i="1"/>
  <c r="M120" i="1"/>
  <c r="N120" i="1"/>
  <c r="O120" i="1"/>
  <c r="P120" i="1"/>
  <c r="Q120" i="1"/>
  <c r="R120" i="1"/>
  <c r="S120" i="1"/>
  <c r="T120" i="1"/>
  <c r="V120" i="1"/>
  <c r="W120" i="1"/>
  <c r="X120" i="1"/>
  <c r="Y120" i="1"/>
  <c r="Y124" i="1" s="1"/>
  <c r="Z120" i="1"/>
  <c r="AA120" i="1"/>
  <c r="AB120" i="1"/>
  <c r="AD120" i="1"/>
  <c r="AE120" i="1"/>
  <c r="AF120" i="1"/>
  <c r="AG120" i="1"/>
  <c r="AG124" i="1" s="1"/>
  <c r="AH120" i="1"/>
  <c r="AI120" i="1"/>
  <c r="AJ120" i="1"/>
  <c r="AL120" i="1"/>
  <c r="AM120" i="1"/>
  <c r="AN120" i="1"/>
  <c r="AO120" i="1"/>
  <c r="AP120" i="1"/>
  <c r="AQ120" i="1"/>
  <c r="AR120" i="1"/>
  <c r="AU120" i="1"/>
  <c r="AV120" i="1"/>
  <c r="AW120" i="1"/>
  <c r="AW124" i="1" s="1"/>
  <c r="AX120" i="1"/>
  <c r="AX124" i="1" s="1"/>
  <c r="AY120" i="1"/>
  <c r="AZ120" i="1"/>
  <c r="BC120" i="1"/>
  <c r="BD120" i="1"/>
  <c r="BE120" i="1"/>
  <c r="BF120" i="1"/>
  <c r="BF124" i="1" s="1"/>
  <c r="BG120" i="1"/>
  <c r="BH120" i="1"/>
  <c r="BK120" i="1"/>
  <c r="BL120" i="1"/>
  <c r="BM120" i="1"/>
  <c r="BN120" i="1"/>
  <c r="BO120" i="1"/>
  <c r="BP120" i="1"/>
  <c r="A121" i="1"/>
  <c r="D121" i="1"/>
  <c r="E121" i="1"/>
  <c r="H121" i="1"/>
  <c r="H124" i="1" s="1"/>
  <c r="H142" i="1" s="1"/>
  <c r="I121" i="1"/>
  <c r="J121" i="1"/>
  <c r="J124" i="1" s="1"/>
  <c r="K121" i="1"/>
  <c r="K124" i="1" s="1"/>
  <c r="L121" i="1"/>
  <c r="M121" i="1"/>
  <c r="Q121" i="1"/>
  <c r="Q124" i="1" s="1"/>
  <c r="R121" i="1"/>
  <c r="S121" i="1"/>
  <c r="S124" i="1" s="1"/>
  <c r="T121" i="1"/>
  <c r="U121" i="1"/>
  <c r="X121" i="1"/>
  <c r="X124" i="1" s="1"/>
  <c r="Y121" i="1"/>
  <c r="Z121" i="1"/>
  <c r="AA121" i="1"/>
  <c r="AB121" i="1"/>
  <c r="AD121" i="1"/>
  <c r="AE121" i="1"/>
  <c r="AF121" i="1"/>
  <c r="AF124" i="1" s="1"/>
  <c r="AG121" i="1"/>
  <c r="AH121" i="1"/>
  <c r="AI121" i="1"/>
  <c r="AJ121" i="1"/>
  <c r="AK121" i="1"/>
  <c r="AL121" i="1"/>
  <c r="AM121" i="1"/>
  <c r="AN121" i="1"/>
  <c r="AN124" i="1" s="1"/>
  <c r="AO121" i="1"/>
  <c r="AQ121" i="1"/>
  <c r="AQ124" i="1" s="1"/>
  <c r="AQ125" i="1" s="1"/>
  <c r="AR121" i="1"/>
  <c r="AS121" i="1"/>
  <c r="AT121" i="1"/>
  <c r="AV121" i="1"/>
  <c r="AW121" i="1"/>
  <c r="AX121" i="1"/>
  <c r="AY121" i="1"/>
  <c r="AZ121" i="1"/>
  <c r="BA121" i="1"/>
  <c r="BB121" i="1"/>
  <c r="BD121" i="1"/>
  <c r="BE121" i="1"/>
  <c r="BF121" i="1"/>
  <c r="BG121" i="1"/>
  <c r="BG124" i="1" s="1"/>
  <c r="BG125" i="1" s="1"/>
  <c r="BH121" i="1"/>
  <c r="BI121" i="1"/>
  <c r="BJ121" i="1"/>
  <c r="BL121" i="1"/>
  <c r="BM121" i="1"/>
  <c r="BN121" i="1"/>
  <c r="BO121" i="1"/>
  <c r="BO124" i="1" s="1"/>
  <c r="BO125" i="1" s="1"/>
  <c r="A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P122" i="1"/>
  <c r="A123" i="1"/>
  <c r="D123" i="1"/>
  <c r="E123" i="1"/>
  <c r="F123" i="1"/>
  <c r="G123" i="1"/>
  <c r="K123" i="1"/>
  <c r="L123" i="1"/>
  <c r="M123" i="1"/>
  <c r="N123" i="1"/>
  <c r="O123" i="1"/>
  <c r="S123" i="1"/>
  <c r="T123" i="1"/>
  <c r="U123" i="1"/>
  <c r="V123" i="1"/>
  <c r="W123" i="1"/>
  <c r="AA123" i="1"/>
  <c r="AB123" i="1"/>
  <c r="AD123" i="1"/>
  <c r="AI123" i="1"/>
  <c r="AJ123" i="1"/>
  <c r="AK123" i="1"/>
  <c r="AL123" i="1"/>
  <c r="AM123" i="1"/>
  <c r="AQ123" i="1"/>
  <c r="AR123" i="1"/>
  <c r="AS123" i="1"/>
  <c r="AT123" i="1"/>
  <c r="AY123" i="1"/>
  <c r="AZ123" i="1"/>
  <c r="BA123" i="1"/>
  <c r="BB123" i="1"/>
  <c r="BG123" i="1"/>
  <c r="BH123" i="1"/>
  <c r="BI123" i="1"/>
  <c r="BJ123" i="1"/>
  <c r="BO123" i="1"/>
  <c r="BP123" i="1"/>
  <c r="A124" i="1"/>
  <c r="D124" i="1"/>
  <c r="L124" i="1"/>
  <c r="L142" i="1" s="1"/>
  <c r="M124" i="1"/>
  <c r="M125" i="1" s="1"/>
  <c r="M143" i="1" s="1"/>
  <c r="R124" i="1"/>
  <c r="Z124" i="1"/>
  <c r="AA124" i="1"/>
  <c r="AA142" i="1" s="1"/>
  <c r="AH124" i="1"/>
  <c r="AI124" i="1"/>
  <c r="AI142" i="1" s="1"/>
  <c r="AO124" i="1"/>
  <c r="AR124" i="1"/>
  <c r="AY124" i="1"/>
  <c r="AY125" i="1" s="1"/>
  <c r="AZ124" i="1"/>
  <c r="BE124" i="1"/>
  <c r="BH124" i="1"/>
  <c r="BH125" i="1" s="1"/>
  <c r="BM124" i="1"/>
  <c r="BN124" i="1"/>
  <c r="A125" i="1"/>
  <c r="AI125" i="1"/>
  <c r="AI143" i="1" s="1"/>
  <c r="P128" i="1"/>
  <c r="AC128" i="1"/>
  <c r="AP128" i="1"/>
  <c r="BC128" i="1"/>
  <c r="BP128" i="1"/>
  <c r="BP130" i="1" s="1"/>
  <c r="BP137" i="1" s="1"/>
  <c r="P129" i="1"/>
  <c r="AC129" i="1"/>
  <c r="AC130" i="1" s="1"/>
  <c r="AC137" i="1" s="1"/>
  <c r="AC139" i="1" s="1"/>
  <c r="AP129" i="1"/>
  <c r="BC129" i="1"/>
  <c r="BP129" i="1"/>
  <c r="D130" i="1"/>
  <c r="D137" i="1" s="1"/>
  <c r="E130" i="1"/>
  <c r="F130" i="1"/>
  <c r="G130" i="1"/>
  <c r="H130" i="1"/>
  <c r="H137" i="1" s="1"/>
  <c r="H139" i="1" s="1"/>
  <c r="I130" i="1"/>
  <c r="I137" i="1" s="1"/>
  <c r="I139" i="1" s="1"/>
  <c r="J130" i="1"/>
  <c r="K130" i="1"/>
  <c r="L130" i="1"/>
  <c r="L137" i="1" s="1"/>
  <c r="M130" i="1"/>
  <c r="N130" i="1"/>
  <c r="O130" i="1"/>
  <c r="P130" i="1"/>
  <c r="P137" i="1" s="1"/>
  <c r="Q130" i="1"/>
  <c r="Q137" i="1" s="1"/>
  <c r="Q139" i="1" s="1"/>
  <c r="R130" i="1"/>
  <c r="S130" i="1"/>
  <c r="T130" i="1"/>
  <c r="T137" i="1" s="1"/>
  <c r="U130" i="1"/>
  <c r="V130" i="1"/>
  <c r="V137" i="1" s="1"/>
  <c r="V139" i="1" s="1"/>
  <c r="W130" i="1"/>
  <c r="X130" i="1"/>
  <c r="X137" i="1" s="1"/>
  <c r="X139" i="1" s="1"/>
  <c r="Y130" i="1"/>
  <c r="Y137" i="1" s="1"/>
  <c r="Y139" i="1" s="1"/>
  <c r="Z130" i="1"/>
  <c r="AA130" i="1"/>
  <c r="AB130" i="1"/>
  <c r="AB137" i="1" s="1"/>
  <c r="AD130" i="1"/>
  <c r="AE130" i="1"/>
  <c r="AF130" i="1"/>
  <c r="AG130" i="1"/>
  <c r="AH130" i="1"/>
  <c r="AI130" i="1"/>
  <c r="AJ130" i="1"/>
  <c r="AJ137" i="1" s="1"/>
  <c r="AK130" i="1"/>
  <c r="AL130" i="1"/>
  <c r="AL137" i="1" s="1"/>
  <c r="AM130" i="1"/>
  <c r="AN130" i="1"/>
  <c r="AN137" i="1" s="1"/>
  <c r="AN139" i="1" s="1"/>
  <c r="AO130" i="1"/>
  <c r="AQ130" i="1"/>
  <c r="AR130" i="1"/>
  <c r="AR137" i="1" s="1"/>
  <c r="AS130" i="1"/>
  <c r="AS137" i="1" s="1"/>
  <c r="AS139" i="1" s="1"/>
  <c r="AT130" i="1"/>
  <c r="AU130" i="1"/>
  <c r="AU137" i="1" s="1"/>
  <c r="AU139" i="1" s="1"/>
  <c r="AV130" i="1"/>
  <c r="AW130" i="1"/>
  <c r="AW137" i="1" s="1"/>
  <c r="AW139" i="1" s="1"/>
  <c r="AX130" i="1"/>
  <c r="AY130" i="1"/>
  <c r="AZ130" i="1"/>
  <c r="AZ137" i="1" s="1"/>
  <c r="BA130" i="1"/>
  <c r="BB130" i="1"/>
  <c r="BC130" i="1"/>
  <c r="BC137" i="1" s="1"/>
  <c r="BD130" i="1"/>
  <c r="BE130" i="1"/>
  <c r="BE137" i="1" s="1"/>
  <c r="BE139" i="1" s="1"/>
  <c r="BF130" i="1"/>
  <c r="BG130" i="1"/>
  <c r="BH130" i="1"/>
  <c r="BH137" i="1" s="1"/>
  <c r="BI130" i="1"/>
  <c r="BJ130" i="1"/>
  <c r="BK130" i="1"/>
  <c r="BK137" i="1" s="1"/>
  <c r="BK139" i="1" s="1"/>
  <c r="BL130" i="1"/>
  <c r="BM130" i="1"/>
  <c r="BM137" i="1" s="1"/>
  <c r="BM139" i="1" s="1"/>
  <c r="BN130" i="1"/>
  <c r="BO130" i="1"/>
  <c r="P133" i="1"/>
  <c r="P134" i="1" s="1"/>
  <c r="P138" i="1" s="1"/>
  <c r="AC133" i="1"/>
  <c r="AC134" i="1" s="1"/>
  <c r="AP133" i="1"/>
  <c r="BC133" i="1"/>
  <c r="BC134" i="1" s="1"/>
  <c r="BC138" i="1" s="1"/>
  <c r="BP133" i="1"/>
  <c r="BP134" i="1" s="1"/>
  <c r="BP138" i="1" s="1"/>
  <c r="D134" i="1"/>
  <c r="E134" i="1"/>
  <c r="F134" i="1"/>
  <c r="G134" i="1"/>
  <c r="H134" i="1"/>
  <c r="I134" i="1"/>
  <c r="J134" i="1"/>
  <c r="K134" i="1"/>
  <c r="K154" i="1" s="1"/>
  <c r="L134" i="1"/>
  <c r="M134" i="1"/>
  <c r="N134" i="1"/>
  <c r="O134" i="1"/>
  <c r="Q134" i="1"/>
  <c r="R134" i="1"/>
  <c r="S134" i="1"/>
  <c r="T134" i="1"/>
  <c r="U134" i="1"/>
  <c r="V134" i="1"/>
  <c r="W134" i="1"/>
  <c r="X134" i="1"/>
  <c r="Y134" i="1"/>
  <c r="Z134" i="1"/>
  <c r="AA134" i="1"/>
  <c r="AA154" i="1" s="1"/>
  <c r="AB134" i="1"/>
  <c r="AD134" i="1"/>
  <c r="AD138" i="1" s="1"/>
  <c r="AE134" i="1"/>
  <c r="AF134" i="1"/>
  <c r="AG134" i="1"/>
  <c r="AH134" i="1"/>
  <c r="AH138" i="1" s="1"/>
  <c r="AH139" i="1" s="1"/>
  <c r="AI134" i="1"/>
  <c r="AJ134" i="1"/>
  <c r="AK134" i="1"/>
  <c r="AL134" i="1"/>
  <c r="AL138" i="1" s="1"/>
  <c r="AM134" i="1"/>
  <c r="AN134" i="1"/>
  <c r="AO134" i="1"/>
  <c r="AP134" i="1"/>
  <c r="AP138" i="1" s="1"/>
  <c r="AQ134" i="1"/>
  <c r="AR134" i="1"/>
  <c r="AS134" i="1"/>
  <c r="AT134" i="1"/>
  <c r="AT138" i="1" s="1"/>
  <c r="AT139" i="1" s="1"/>
  <c r="AU134" i="1"/>
  <c r="AV134" i="1"/>
  <c r="AW134" i="1"/>
  <c r="AX134" i="1"/>
  <c r="AX138" i="1" s="1"/>
  <c r="AX139" i="1" s="1"/>
  <c r="AY134" i="1"/>
  <c r="AZ134" i="1"/>
  <c r="BA134" i="1"/>
  <c r="BB134" i="1"/>
  <c r="BB138" i="1" s="1"/>
  <c r="BB139" i="1" s="1"/>
  <c r="BD134" i="1"/>
  <c r="BE134" i="1"/>
  <c r="BF134" i="1"/>
  <c r="BF138" i="1" s="1"/>
  <c r="BF139" i="1" s="1"/>
  <c r="BG134" i="1"/>
  <c r="BH134" i="1"/>
  <c r="BI134" i="1"/>
  <c r="BJ134" i="1"/>
  <c r="BJ138" i="1" s="1"/>
  <c r="BK134" i="1"/>
  <c r="BL134" i="1"/>
  <c r="BM134" i="1"/>
  <c r="BN134" i="1"/>
  <c r="BN138" i="1" s="1"/>
  <c r="BN139" i="1" s="1"/>
  <c r="BO134" i="1"/>
  <c r="E137" i="1"/>
  <c r="E139" i="1" s="1"/>
  <c r="F137" i="1"/>
  <c r="F139" i="1" s="1"/>
  <c r="G137" i="1"/>
  <c r="G139" i="1" s="1"/>
  <c r="J137" i="1"/>
  <c r="K137" i="1"/>
  <c r="M137" i="1"/>
  <c r="N137" i="1"/>
  <c r="N139" i="1" s="1"/>
  <c r="O137" i="1"/>
  <c r="O139" i="1" s="1"/>
  <c r="R137" i="1"/>
  <c r="S137" i="1"/>
  <c r="U137" i="1"/>
  <c r="U139" i="1" s="1"/>
  <c r="W137" i="1"/>
  <c r="W139" i="1" s="1"/>
  <c r="Z137" i="1"/>
  <c r="AA137" i="1"/>
  <c r="AD137" i="1"/>
  <c r="AD139" i="1" s="1"/>
  <c r="AE137" i="1"/>
  <c r="AF137" i="1"/>
  <c r="AF139" i="1" s="1"/>
  <c r="AG137" i="1"/>
  <c r="AG139" i="1" s="1"/>
  <c r="AH137" i="1"/>
  <c r="AI137" i="1"/>
  <c r="AK137" i="1"/>
  <c r="AM137" i="1"/>
  <c r="AM139" i="1" s="1"/>
  <c r="AO137" i="1"/>
  <c r="AO139" i="1" s="1"/>
  <c r="AQ137" i="1"/>
  <c r="AT137" i="1"/>
  <c r="AV137" i="1"/>
  <c r="AX137" i="1"/>
  <c r="AY137" i="1"/>
  <c r="BA137" i="1"/>
  <c r="BA139" i="1" s="1"/>
  <c r="BB137" i="1"/>
  <c r="BD137" i="1"/>
  <c r="BF137" i="1"/>
  <c r="BG137" i="1"/>
  <c r="BI137" i="1"/>
  <c r="BI139" i="1" s="1"/>
  <c r="BJ137" i="1"/>
  <c r="BJ139" i="1" s="1"/>
  <c r="BL137" i="1"/>
  <c r="BN137" i="1"/>
  <c r="BO137" i="1"/>
  <c r="D138" i="1"/>
  <c r="D139" i="1" s="1"/>
  <c r="E138" i="1"/>
  <c r="F138" i="1"/>
  <c r="G138" i="1"/>
  <c r="H138" i="1"/>
  <c r="I138" i="1"/>
  <c r="J138" i="1"/>
  <c r="K138" i="1"/>
  <c r="K139" i="1" s="1"/>
  <c r="L138" i="1"/>
  <c r="L139" i="1" s="1"/>
  <c r="M138" i="1"/>
  <c r="M139" i="1" s="1"/>
  <c r="N138" i="1"/>
  <c r="O138" i="1"/>
  <c r="Q138" i="1"/>
  <c r="R138" i="1"/>
  <c r="S138" i="1"/>
  <c r="S139" i="1" s="1"/>
  <c r="T138" i="1"/>
  <c r="T139" i="1" s="1"/>
  <c r="U138" i="1"/>
  <c r="V138" i="1"/>
  <c r="W138" i="1"/>
  <c r="X138" i="1"/>
  <c r="Y138" i="1"/>
  <c r="Z138" i="1"/>
  <c r="AA138" i="1"/>
  <c r="AA139" i="1" s="1"/>
  <c r="AB138" i="1"/>
  <c r="AB139" i="1" s="1"/>
  <c r="AC138" i="1"/>
  <c r="AE138" i="1"/>
  <c r="AF138" i="1"/>
  <c r="AG138" i="1"/>
  <c r="AI138" i="1"/>
  <c r="AI139" i="1" s="1"/>
  <c r="AJ138" i="1"/>
  <c r="AJ139" i="1" s="1"/>
  <c r="AK138" i="1"/>
  <c r="AK139" i="1" s="1"/>
  <c r="AM138" i="1"/>
  <c r="AN138" i="1"/>
  <c r="AO138" i="1"/>
  <c r="AQ138" i="1"/>
  <c r="AQ139" i="1" s="1"/>
  <c r="AR138" i="1"/>
  <c r="AR139" i="1" s="1"/>
  <c r="AS138" i="1"/>
  <c r="AU138" i="1"/>
  <c r="AV138" i="1"/>
  <c r="AW138" i="1"/>
  <c r="AY138" i="1"/>
  <c r="AY139" i="1" s="1"/>
  <c r="AZ138" i="1"/>
  <c r="AZ139" i="1" s="1"/>
  <c r="BA138" i="1"/>
  <c r="BD138" i="1"/>
  <c r="BE138" i="1"/>
  <c r="BG138" i="1"/>
  <c r="BG139" i="1" s="1"/>
  <c r="BH138" i="1"/>
  <c r="BH139" i="1" s="1"/>
  <c r="BI138" i="1"/>
  <c r="BK138" i="1"/>
  <c r="BL138" i="1"/>
  <c r="BM138" i="1"/>
  <c r="BO138" i="1"/>
  <c r="BO139" i="1" s="1"/>
  <c r="J139" i="1"/>
  <c r="R139" i="1"/>
  <c r="Z139" i="1"/>
  <c r="AE139" i="1"/>
  <c r="AV139" i="1"/>
  <c r="BD139" i="1"/>
  <c r="BL139" i="1"/>
  <c r="D142" i="1"/>
  <c r="R142" i="1"/>
  <c r="X142" i="1"/>
  <c r="AF142" i="1"/>
  <c r="AH142" i="1"/>
  <c r="AN142" i="1"/>
  <c r="AO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D143" i="1"/>
  <c r="AD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BJ143" i="1"/>
  <c r="BK143" i="1"/>
  <c r="BL143" i="1"/>
  <c r="BM143" i="1"/>
  <c r="BN143" i="1"/>
  <c r="BO143" i="1"/>
  <c r="BP143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BK145" i="1"/>
  <c r="BL145" i="1"/>
  <c r="BM145" i="1"/>
  <c r="BN145" i="1"/>
  <c r="BO145" i="1"/>
  <c r="BP145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BJ146" i="1"/>
  <c r="BK146" i="1"/>
  <c r="BL146" i="1"/>
  <c r="BM146" i="1"/>
  <c r="BN146" i="1"/>
  <c r="BO146" i="1"/>
  <c r="BP146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P147" i="1"/>
  <c r="D148" i="1"/>
  <c r="H148" i="1"/>
  <c r="R148" i="1"/>
  <c r="X148" i="1"/>
  <c r="Z148" i="1"/>
  <c r="AA148" i="1"/>
  <c r="AF148" i="1"/>
  <c r="AH148" i="1"/>
  <c r="AI148" i="1"/>
  <c r="AN148" i="1"/>
  <c r="AO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BJ148" i="1"/>
  <c r="BK148" i="1"/>
  <c r="BL148" i="1"/>
  <c r="BM148" i="1"/>
  <c r="BN148" i="1"/>
  <c r="BO148" i="1"/>
  <c r="BP148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D149" i="1"/>
  <c r="BE149" i="1"/>
  <c r="BF149" i="1"/>
  <c r="BG149" i="1"/>
  <c r="BH149" i="1"/>
  <c r="BI149" i="1"/>
  <c r="BJ149" i="1"/>
  <c r="BK149" i="1"/>
  <c r="BL149" i="1"/>
  <c r="BM149" i="1"/>
  <c r="BN149" i="1"/>
  <c r="BO149" i="1"/>
  <c r="BP149" i="1"/>
  <c r="D150" i="1"/>
  <c r="E150" i="1"/>
  <c r="H150" i="1"/>
  <c r="I150" i="1"/>
  <c r="K150" i="1"/>
  <c r="L150" i="1"/>
  <c r="M150" i="1"/>
  <c r="Q150" i="1"/>
  <c r="R150" i="1"/>
  <c r="S150" i="1"/>
  <c r="T150" i="1"/>
  <c r="U150" i="1"/>
  <c r="X150" i="1"/>
  <c r="Y150" i="1"/>
  <c r="Z150" i="1"/>
  <c r="AA150" i="1"/>
  <c r="AB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Q150" i="1"/>
  <c r="AR150" i="1"/>
  <c r="AS150" i="1"/>
  <c r="AT150" i="1"/>
  <c r="AW150" i="1"/>
  <c r="AX150" i="1"/>
  <c r="AY150" i="1"/>
  <c r="AZ150" i="1"/>
  <c r="BA150" i="1"/>
  <c r="BB150" i="1"/>
  <c r="BE150" i="1"/>
  <c r="BF150" i="1"/>
  <c r="BG150" i="1"/>
  <c r="BH150" i="1"/>
  <c r="BI150" i="1"/>
  <c r="BJ150" i="1"/>
  <c r="BK150" i="1"/>
  <c r="BM150" i="1"/>
  <c r="BN150" i="1"/>
  <c r="BO150" i="1"/>
  <c r="BP150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BJ151" i="1"/>
  <c r="BK151" i="1"/>
  <c r="BL151" i="1"/>
  <c r="BM151" i="1"/>
  <c r="BN151" i="1"/>
  <c r="BO151" i="1"/>
  <c r="BP151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BJ152" i="1"/>
  <c r="BK152" i="1"/>
  <c r="BL152" i="1"/>
  <c r="BM152" i="1"/>
  <c r="BN152" i="1"/>
  <c r="BO152" i="1"/>
  <c r="BP152" i="1"/>
  <c r="D153" i="1"/>
  <c r="E153" i="1"/>
  <c r="H153" i="1"/>
  <c r="I153" i="1"/>
  <c r="J153" i="1"/>
  <c r="K153" i="1"/>
  <c r="L153" i="1"/>
  <c r="M153" i="1"/>
  <c r="Q153" i="1"/>
  <c r="R153" i="1"/>
  <c r="S153" i="1"/>
  <c r="T153" i="1"/>
  <c r="U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Q153" i="1"/>
  <c r="AR153" i="1"/>
  <c r="AS153" i="1"/>
  <c r="AT153" i="1"/>
  <c r="AV153" i="1"/>
  <c r="AW153" i="1"/>
  <c r="AX153" i="1"/>
  <c r="AY153" i="1"/>
  <c r="AZ153" i="1"/>
  <c r="BA153" i="1"/>
  <c r="BB153" i="1"/>
  <c r="BD153" i="1"/>
  <c r="BE153" i="1"/>
  <c r="BF153" i="1"/>
  <c r="BG153" i="1"/>
  <c r="BH153" i="1"/>
  <c r="BI153" i="1"/>
  <c r="BJ153" i="1"/>
  <c r="BL153" i="1"/>
  <c r="BM153" i="1"/>
  <c r="BN153" i="1"/>
  <c r="BO153" i="1"/>
  <c r="D154" i="1"/>
  <c r="E154" i="1"/>
  <c r="H154" i="1"/>
  <c r="I154" i="1"/>
  <c r="J154" i="1"/>
  <c r="L154" i="1"/>
  <c r="M154" i="1"/>
  <c r="Q154" i="1"/>
  <c r="R154" i="1"/>
  <c r="T154" i="1"/>
  <c r="U154" i="1"/>
  <c r="X154" i="1"/>
  <c r="Y154" i="1"/>
  <c r="Z154" i="1"/>
  <c r="AB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Q154" i="1"/>
  <c r="AR154" i="1"/>
  <c r="AS154" i="1"/>
  <c r="AT154" i="1"/>
  <c r="AW154" i="1"/>
  <c r="AX154" i="1"/>
  <c r="AY154" i="1"/>
  <c r="AZ154" i="1"/>
  <c r="BA154" i="1"/>
  <c r="BB154" i="1"/>
  <c r="BE154" i="1"/>
  <c r="BF154" i="1"/>
  <c r="BG154" i="1"/>
  <c r="BH154" i="1"/>
  <c r="BI154" i="1"/>
  <c r="BJ154" i="1"/>
  <c r="BM154" i="1"/>
  <c r="BN154" i="1"/>
  <c r="BO154" i="1"/>
  <c r="P157" i="1"/>
  <c r="P159" i="1" s="1"/>
  <c r="AC157" i="1"/>
  <c r="AC159" i="1" s="1"/>
  <c r="AP157" i="1"/>
  <c r="BC157" i="1"/>
  <c r="BP157" i="1"/>
  <c r="P158" i="1"/>
  <c r="AC158" i="1"/>
  <c r="AP158" i="1"/>
  <c r="AP159" i="1" s="1"/>
  <c r="BC158" i="1"/>
  <c r="BP158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P162" i="1"/>
  <c r="AC162" i="1"/>
  <c r="AP162" i="1"/>
  <c r="BC162" i="1"/>
  <c r="BP162" i="1"/>
  <c r="P163" i="1"/>
  <c r="AC163" i="1"/>
  <c r="AP163" i="1"/>
  <c r="BC163" i="1"/>
  <c r="BP163" i="1"/>
  <c r="P164" i="1"/>
  <c r="AC164" i="1"/>
  <c r="AP164" i="1"/>
  <c r="BC164" i="1"/>
  <c r="BP164" i="1"/>
  <c r="P165" i="1"/>
  <c r="AC165" i="1"/>
  <c r="AP165" i="1"/>
  <c r="BC165" i="1"/>
  <c r="BP165" i="1"/>
  <c r="P166" i="1"/>
  <c r="AC166" i="1"/>
  <c r="AP166" i="1"/>
  <c r="BC166" i="1"/>
  <c r="BP166" i="1"/>
  <c r="P167" i="1"/>
  <c r="AC167" i="1"/>
  <c r="AP167" i="1"/>
  <c r="BC167" i="1"/>
  <c r="BP167" i="1"/>
  <c r="P168" i="1"/>
  <c r="AC168" i="1"/>
  <c r="AP168" i="1"/>
  <c r="BC168" i="1"/>
  <c r="BP168" i="1"/>
  <c r="P169" i="1"/>
  <c r="AC169" i="1"/>
  <c r="AP169" i="1"/>
  <c r="BC169" i="1"/>
  <c r="BP169" i="1"/>
  <c r="P170" i="1"/>
  <c r="AC170" i="1"/>
  <c r="AP170" i="1"/>
  <c r="BC170" i="1"/>
  <c r="BP170" i="1"/>
  <c r="P173" i="1"/>
  <c r="AC173" i="1"/>
  <c r="AP173" i="1"/>
  <c r="BC173" i="1"/>
  <c r="BP173" i="1"/>
  <c r="P174" i="1"/>
  <c r="AC174" i="1"/>
  <c r="AP174" i="1"/>
  <c r="BC174" i="1"/>
  <c r="BP174" i="1"/>
  <c r="P175" i="1"/>
  <c r="AC175" i="1"/>
  <c r="AP175" i="1"/>
  <c r="BC175" i="1"/>
  <c r="BP175" i="1"/>
  <c r="P176" i="1"/>
  <c r="AC176" i="1"/>
  <c r="AP176" i="1"/>
  <c r="BC176" i="1"/>
  <c r="BP176" i="1"/>
  <c r="P177" i="1"/>
  <c r="AC177" i="1"/>
  <c r="AP177" i="1"/>
  <c r="BC177" i="1"/>
  <c r="BP177" i="1"/>
  <c r="P178" i="1"/>
  <c r="AC178" i="1"/>
  <c r="AP178" i="1"/>
  <c r="BC178" i="1"/>
  <c r="BP178" i="1"/>
  <c r="P179" i="1"/>
  <c r="AC179" i="1"/>
  <c r="AP179" i="1"/>
  <c r="BC179" i="1"/>
  <c r="BP179" i="1"/>
  <c r="P180" i="1"/>
  <c r="AC180" i="1"/>
  <c r="AP180" i="1"/>
  <c r="BC180" i="1"/>
  <c r="BP180" i="1"/>
  <c r="P181" i="1"/>
  <c r="AC181" i="1"/>
  <c r="AP181" i="1"/>
  <c r="BC181" i="1"/>
  <c r="BP181" i="1"/>
  <c r="P184" i="1"/>
  <c r="P196" i="1" s="1"/>
  <c r="AC184" i="1"/>
  <c r="AP184" i="1"/>
  <c r="AP196" i="1" s="1"/>
  <c r="BC184" i="1"/>
  <c r="P185" i="1"/>
  <c r="AC185" i="1"/>
  <c r="AC196" i="1" s="1"/>
  <c r="AP185" i="1"/>
  <c r="BC185" i="1"/>
  <c r="P186" i="1"/>
  <c r="AC186" i="1"/>
  <c r="AP186" i="1"/>
  <c r="BC186" i="1"/>
  <c r="P187" i="1"/>
  <c r="AC187" i="1"/>
  <c r="AP187" i="1"/>
  <c r="BC187" i="1"/>
  <c r="P188" i="1"/>
  <c r="AC188" i="1"/>
  <c r="AP188" i="1"/>
  <c r="BC188" i="1"/>
  <c r="P189" i="1"/>
  <c r="AC189" i="1"/>
  <c r="AP189" i="1"/>
  <c r="BC189" i="1"/>
  <c r="P190" i="1"/>
  <c r="AC190" i="1"/>
  <c r="AP190" i="1"/>
  <c r="BC190" i="1"/>
  <c r="P191" i="1"/>
  <c r="AC191" i="1"/>
  <c r="AP191" i="1"/>
  <c r="BC191" i="1"/>
  <c r="P192" i="1"/>
  <c r="AC192" i="1"/>
  <c r="AP192" i="1"/>
  <c r="BC192" i="1"/>
  <c r="P193" i="1"/>
  <c r="AC193" i="1"/>
  <c r="AP193" i="1"/>
  <c r="BC193" i="1"/>
  <c r="P194" i="1"/>
  <c r="AC194" i="1"/>
  <c r="AP194" i="1"/>
  <c r="BC194" i="1"/>
  <c r="P195" i="1"/>
  <c r="AC195" i="1"/>
  <c r="AP195" i="1"/>
  <c r="BC195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Q196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G196" i="1"/>
  <c r="BH196" i="1"/>
  <c r="BI196" i="1"/>
  <c r="BJ196" i="1"/>
  <c r="BK196" i="1"/>
  <c r="BL196" i="1"/>
  <c r="BM196" i="1"/>
  <c r="BN196" i="1"/>
  <c r="BO196" i="1"/>
  <c r="BP196" i="1"/>
  <c r="M5" i="3"/>
  <c r="N5" i="3" s="1"/>
  <c r="O5" i="3" s="1"/>
  <c r="M6" i="3"/>
  <c r="N6" i="3" s="1"/>
  <c r="O6" i="3" s="1"/>
  <c r="M7" i="3"/>
  <c r="N7" i="3"/>
  <c r="O7" i="3"/>
  <c r="M8" i="3"/>
  <c r="N8" i="3" s="1"/>
  <c r="O8" i="3" s="1"/>
  <c r="P139" i="1" l="1"/>
  <c r="AJ142" i="1"/>
  <c r="AJ125" i="1"/>
  <c r="AJ143" i="1" s="1"/>
  <c r="AJ148" i="1"/>
  <c r="BN125" i="1"/>
  <c r="Q125" i="1"/>
  <c r="Q143" i="1" s="1"/>
  <c r="Q148" i="1"/>
  <c r="Q142" i="1"/>
  <c r="AG116" i="1"/>
  <c r="BP139" i="1"/>
  <c r="BM125" i="1"/>
  <c r="AW125" i="1"/>
  <c r="T142" i="1"/>
  <c r="T148" i="1"/>
  <c r="BC77" i="1"/>
  <c r="BC121" i="1"/>
  <c r="BN83" i="1"/>
  <c r="BC139" i="1"/>
  <c r="AL139" i="1"/>
  <c r="E125" i="1"/>
  <c r="E143" i="1" s="1"/>
  <c r="E148" i="1"/>
  <c r="E142" i="1"/>
  <c r="Y148" i="1"/>
  <c r="Y142" i="1"/>
  <c r="Y125" i="1"/>
  <c r="Y143" i="1" s="1"/>
  <c r="AX83" i="1"/>
  <c r="S142" i="1"/>
  <c r="S125" i="1"/>
  <c r="S143" i="1" s="1"/>
  <c r="S148" i="1"/>
  <c r="AG125" i="1"/>
  <c r="AG143" i="1" s="1"/>
  <c r="AG148" i="1"/>
  <c r="AG142" i="1"/>
  <c r="AB142" i="1"/>
  <c r="AB148" i="1"/>
  <c r="K142" i="1"/>
  <c r="K148" i="1"/>
  <c r="K125" i="1"/>
  <c r="K143" i="1" s="1"/>
  <c r="E2" i="3"/>
  <c r="J148" i="1"/>
  <c r="J142" i="1"/>
  <c r="I148" i="1"/>
  <c r="I142" i="1"/>
  <c r="J150" i="1"/>
  <c r="L148" i="1"/>
  <c r="Z142" i="1"/>
  <c r="AS116" i="1"/>
  <c r="U116" i="1"/>
  <c r="M116" i="1"/>
  <c r="E116" i="1"/>
  <c r="AB125" i="1"/>
  <c r="AB143" i="1" s="1"/>
  <c r="T125" i="1"/>
  <c r="T143" i="1" s="1"/>
  <c r="L125" i="1"/>
  <c r="L143" i="1" s="1"/>
  <c r="D125" i="1"/>
  <c r="BJ120" i="1"/>
  <c r="BJ124" i="1" s="1"/>
  <c r="BJ125" i="1" s="1"/>
  <c r="BJ76" i="1"/>
  <c r="BJ83" i="1" s="1"/>
  <c r="BB120" i="1"/>
  <c r="BB124" i="1" s="1"/>
  <c r="BB125" i="1" s="1"/>
  <c r="BB76" i="1"/>
  <c r="BB83" i="1" s="1"/>
  <c r="AT120" i="1"/>
  <c r="AT124" i="1" s="1"/>
  <c r="AT125" i="1" s="1"/>
  <c r="AT76" i="1"/>
  <c r="AT83" i="1" s="1"/>
  <c r="G83" i="1"/>
  <c r="AP119" i="1"/>
  <c r="AP75" i="1"/>
  <c r="J73" i="1"/>
  <c r="J83" i="1" s="1"/>
  <c r="J123" i="1"/>
  <c r="J125" i="1" s="1"/>
  <c r="J143" i="1" s="1"/>
  <c r="BL72" i="1"/>
  <c r="BL83" i="1" s="1"/>
  <c r="BL119" i="1"/>
  <c r="BL124" i="1" s="1"/>
  <c r="BL125" i="1" s="1"/>
  <c r="BD72" i="1"/>
  <c r="BD83" i="1" s="1"/>
  <c r="BD119" i="1"/>
  <c r="AV72" i="1"/>
  <c r="AV119" i="1"/>
  <c r="AM83" i="1"/>
  <c r="L116" i="1"/>
  <c r="D116" i="1"/>
  <c r="V83" i="1"/>
  <c r="AR83" i="1"/>
  <c r="N77" i="1"/>
  <c r="N83" i="1" s="1"/>
  <c r="N121" i="1"/>
  <c r="F121" i="1"/>
  <c r="F77" i="1"/>
  <c r="P35" i="1"/>
  <c r="AO123" i="1"/>
  <c r="AO125" i="1" s="1"/>
  <c r="AO143" i="1" s="1"/>
  <c r="AO73" i="1"/>
  <c r="AO83" i="1" s="1"/>
  <c r="Y73" i="1"/>
  <c r="Y123" i="1"/>
  <c r="Q123" i="1"/>
  <c r="Q73" i="1"/>
  <c r="I123" i="1"/>
  <c r="I125" i="1" s="1"/>
  <c r="I143" i="1" s="1"/>
  <c r="I73" i="1"/>
  <c r="I83" i="1" s="1"/>
  <c r="BK123" i="1"/>
  <c r="BC119" i="1"/>
  <c r="BI116" i="1"/>
  <c r="AY116" i="1"/>
  <c r="AQ116" i="1"/>
  <c r="AI116" i="1"/>
  <c r="AA116" i="1"/>
  <c r="V77" i="1"/>
  <c r="V121" i="1"/>
  <c r="P22" i="1"/>
  <c r="S154" i="1"/>
  <c r="AX116" i="1"/>
  <c r="AP116" i="1"/>
  <c r="AH116" i="1"/>
  <c r="AC77" i="1"/>
  <c r="W83" i="1"/>
  <c r="AW79" i="1"/>
  <c r="AW123" i="1"/>
  <c r="AN79" i="1"/>
  <c r="AN83" i="1" s="1"/>
  <c r="AN123" i="1"/>
  <c r="AN125" i="1" s="1"/>
  <c r="AN143" i="1" s="1"/>
  <c r="AF79" i="1"/>
  <c r="AF83" i="1" s="1"/>
  <c r="AF123" i="1"/>
  <c r="AF125" i="1" s="1"/>
  <c r="AF143" i="1" s="1"/>
  <c r="BC42" i="1"/>
  <c r="AL142" i="1"/>
  <c r="AD142" i="1"/>
  <c r="AP121" i="1"/>
  <c r="G121" i="1"/>
  <c r="AS120" i="1"/>
  <c r="AS124" i="1" s="1"/>
  <c r="AS125" i="1" s="1"/>
  <c r="AK120" i="1"/>
  <c r="AK124" i="1" s="1"/>
  <c r="AC120" i="1"/>
  <c r="AC124" i="1" s="1"/>
  <c r="U120" i="1"/>
  <c r="U124" i="1" s="1"/>
  <c r="BP116" i="1"/>
  <c r="BG116" i="1"/>
  <c r="Z82" i="1"/>
  <c r="Z83" i="1" s="1"/>
  <c r="Z123" i="1"/>
  <c r="Z125" i="1" s="1"/>
  <c r="Z143" i="1" s="1"/>
  <c r="R82" i="1"/>
  <c r="R83" i="1" s="1"/>
  <c r="R123" i="1"/>
  <c r="R125" i="1" s="1"/>
  <c r="R143" i="1" s="1"/>
  <c r="BM79" i="1"/>
  <c r="BM123" i="1"/>
  <c r="BE79" i="1"/>
  <c r="BE123" i="1"/>
  <c r="BE125" i="1" s="1"/>
  <c r="AV79" i="1"/>
  <c r="AV123" i="1"/>
  <c r="AP78" i="1"/>
  <c r="AP122" i="1"/>
  <c r="M142" i="1"/>
  <c r="AP130" i="1"/>
  <c r="AP137" i="1" s="1"/>
  <c r="AP139" i="1" s="1"/>
  <c r="P122" i="1"/>
  <c r="O121" i="1"/>
  <c r="BA120" i="1"/>
  <c r="BA124" i="1" s="1"/>
  <c r="BA125" i="1" s="1"/>
  <c r="BO116" i="1"/>
  <c r="F83" i="1"/>
  <c r="BC74" i="1"/>
  <c r="BO83" i="1"/>
  <c r="BE83" i="1"/>
  <c r="AS83" i="1"/>
  <c r="Y83" i="1"/>
  <c r="M83" i="1"/>
  <c r="AX82" i="1"/>
  <c r="AX123" i="1"/>
  <c r="AX125" i="1" s="1"/>
  <c r="AH82" i="1"/>
  <c r="AH83" i="1" s="1"/>
  <c r="AH123" i="1"/>
  <c r="AH125" i="1" s="1"/>
  <c r="AH143" i="1" s="1"/>
  <c r="BL79" i="1"/>
  <c r="BL123" i="1"/>
  <c r="BD79" i="1"/>
  <c r="BD123" i="1"/>
  <c r="P79" i="1"/>
  <c r="P123" i="1"/>
  <c r="AL148" i="1"/>
  <c r="AD148" i="1"/>
  <c r="AA125" i="1"/>
  <c r="AA143" i="1" s="1"/>
  <c r="AE123" i="1"/>
  <c r="BD124" i="1"/>
  <c r="BD125" i="1" s="1"/>
  <c r="AV124" i="1"/>
  <c r="AV125" i="1" s="1"/>
  <c r="W121" i="1"/>
  <c r="BI120" i="1"/>
  <c r="BI124" i="1" s="1"/>
  <c r="BI125" i="1" s="1"/>
  <c r="L83" i="1"/>
  <c r="BN82" i="1"/>
  <c r="BN123" i="1"/>
  <c r="BF82" i="1"/>
  <c r="BF83" i="1" s="1"/>
  <c r="BF123" i="1"/>
  <c r="BF125" i="1" s="1"/>
  <c r="X80" i="1"/>
  <c r="X83" i="1" s="1"/>
  <c r="X123" i="1"/>
  <c r="X125" i="1" s="1"/>
  <c r="X143" i="1" s="1"/>
  <c r="H80" i="1"/>
  <c r="H83" i="1" s="1"/>
  <c r="H123" i="1"/>
  <c r="H125" i="1" s="1"/>
  <c r="H143" i="1" s="1"/>
  <c r="M148" i="1"/>
  <c r="BK121" i="1"/>
  <c r="AU121" i="1"/>
  <c r="AM124" i="1"/>
  <c r="AE124" i="1"/>
  <c r="O119" i="1"/>
  <c r="G119" i="1"/>
  <c r="BF116" i="1"/>
  <c r="BN116" i="1"/>
  <c r="AZ83" i="1"/>
  <c r="T83" i="1"/>
  <c r="BM83" i="1"/>
  <c r="BA83" i="1"/>
  <c r="AQ83" i="1"/>
  <c r="AG83" i="1"/>
  <c r="U83" i="1"/>
  <c r="K83" i="1"/>
  <c r="AB83" i="1"/>
  <c r="BI83" i="1"/>
  <c r="AY83" i="1"/>
  <c r="S83" i="1"/>
  <c r="AC53" i="1"/>
  <c r="BP35" i="1"/>
  <c r="BH83" i="1"/>
  <c r="AP59" i="1"/>
  <c r="AP80" i="1" s="1"/>
  <c r="AJ83" i="1"/>
  <c r="D83" i="1"/>
  <c r="BG83" i="1"/>
  <c r="AW83" i="1"/>
  <c r="AK83" i="1"/>
  <c r="AA83" i="1"/>
  <c r="Q83" i="1"/>
  <c r="E83" i="1"/>
  <c r="AC59" i="1"/>
  <c r="AC80" i="1" s="1"/>
  <c r="AP53" i="1"/>
  <c r="AC142" i="1" l="1"/>
  <c r="AK125" i="1"/>
  <c r="AK143" i="1" s="1"/>
  <c r="AK148" i="1"/>
  <c r="AK142" i="1"/>
  <c r="O124" i="1"/>
  <c r="O153" i="1"/>
  <c r="G124" i="1"/>
  <c r="G153" i="1"/>
  <c r="BC124" i="1"/>
  <c r="BC125" i="1" s="1"/>
  <c r="BC153" i="1"/>
  <c r="AC79" i="1"/>
  <c r="AC83" i="1" s="1"/>
  <c r="AC148" i="1"/>
  <c r="AC150" i="1"/>
  <c r="AC154" i="1"/>
  <c r="AC123" i="1"/>
  <c r="AC125" i="1" s="1"/>
  <c r="AC143" i="1" s="1"/>
  <c r="AC145" i="1"/>
  <c r="AP124" i="1"/>
  <c r="AP153" i="1"/>
  <c r="F124" i="1"/>
  <c r="F153" i="1"/>
  <c r="F154" i="1"/>
  <c r="F150" i="1"/>
  <c r="W124" i="1"/>
  <c r="W154" i="1"/>
  <c r="W150" i="1"/>
  <c r="W153" i="1"/>
  <c r="BK124" i="1"/>
  <c r="BK125" i="1" s="1"/>
  <c r="BK153" i="1"/>
  <c r="BK154" i="1"/>
  <c r="P119" i="1"/>
  <c r="P75" i="1"/>
  <c r="P145" i="1"/>
  <c r="P146" i="1"/>
  <c r="P147" i="1"/>
  <c r="P149" i="1"/>
  <c r="P144" i="1"/>
  <c r="BC150" i="1"/>
  <c r="N124" i="1"/>
  <c r="N150" i="1"/>
  <c r="N153" i="1"/>
  <c r="N154" i="1"/>
  <c r="AV154" i="1"/>
  <c r="AV150" i="1"/>
  <c r="P77" i="1"/>
  <c r="P121" i="1"/>
  <c r="AP123" i="1"/>
  <c r="AP148" i="1"/>
  <c r="AP145" i="1"/>
  <c r="AP79" i="1"/>
  <c r="AP83" i="1" s="1"/>
  <c r="O150" i="1"/>
  <c r="O154" i="1"/>
  <c r="V124" i="1"/>
  <c r="V150" i="1"/>
  <c r="V153" i="1"/>
  <c r="V154" i="1"/>
  <c r="AV83" i="1"/>
  <c r="AM125" i="1"/>
  <c r="AM143" i="1" s="1"/>
  <c r="AM148" i="1"/>
  <c r="AM142" i="1"/>
  <c r="AU124" i="1"/>
  <c r="AU125" i="1" s="1"/>
  <c r="AU153" i="1"/>
  <c r="AU154" i="1"/>
  <c r="BL154" i="1"/>
  <c r="BL150" i="1"/>
  <c r="BP121" i="1"/>
  <c r="BP77" i="1"/>
  <c r="BP83" i="1" s="1"/>
  <c r="G154" i="1"/>
  <c r="G150" i="1"/>
  <c r="AE148" i="1"/>
  <c r="AE125" i="1"/>
  <c r="AE143" i="1" s="1"/>
  <c r="AE142" i="1"/>
  <c r="U125" i="1"/>
  <c r="U143" i="1" s="1"/>
  <c r="U148" i="1"/>
  <c r="U142" i="1"/>
  <c r="BC78" i="1"/>
  <c r="BC83" i="1" s="1"/>
  <c r="BC122" i="1"/>
  <c r="BC154" i="1" s="1"/>
  <c r="BC149" i="1"/>
  <c r="BD154" i="1"/>
  <c r="BD150" i="1"/>
  <c r="AP154" i="1"/>
  <c r="AP150" i="1"/>
  <c r="BP124" i="1" l="1"/>
  <c r="BP125" i="1" s="1"/>
  <c r="BP153" i="1"/>
  <c r="BP154" i="1"/>
  <c r="O125" i="1"/>
  <c r="O143" i="1" s="1"/>
  <c r="O148" i="1"/>
  <c r="O142" i="1"/>
  <c r="F125" i="1"/>
  <c r="F143" i="1" s="1"/>
  <c r="F148" i="1"/>
  <c r="F142" i="1"/>
  <c r="N125" i="1"/>
  <c r="N143" i="1" s="1"/>
  <c r="N148" i="1"/>
  <c r="N142" i="1"/>
  <c r="AP125" i="1"/>
  <c r="AP143" i="1" s="1"/>
  <c r="AP142" i="1"/>
  <c r="P124" i="1"/>
  <c r="P153" i="1"/>
  <c r="V125" i="1"/>
  <c r="V143" i="1" s="1"/>
  <c r="V148" i="1"/>
  <c r="V142" i="1"/>
  <c r="P83" i="1"/>
  <c r="W148" i="1"/>
  <c r="W142" i="1"/>
  <c r="W125" i="1"/>
  <c r="W143" i="1" s="1"/>
  <c r="G148" i="1"/>
  <c r="G125" i="1"/>
  <c r="G143" i="1" s="1"/>
  <c r="G142" i="1"/>
  <c r="P150" i="1"/>
  <c r="P154" i="1"/>
  <c r="P125" i="1" l="1"/>
  <c r="P143" i="1" s="1"/>
  <c r="P148" i="1"/>
  <c r="P142" i="1"/>
</calcChain>
</file>

<file path=xl/sharedStrings.xml><?xml version="1.0" encoding="utf-8"?>
<sst xmlns="http://schemas.openxmlformats.org/spreadsheetml/2006/main" count="379" uniqueCount="237">
  <si>
    <t>TRADE STATEMENT - OCT 2026-27</t>
  </si>
  <si>
    <t>TEST BUSINESS STD Ltd</t>
  </si>
  <si>
    <t>Date:</t>
  </si>
  <si>
    <t>07 Oct 17:56:41</t>
  </si>
  <si>
    <t>CODE</t>
  </si>
  <si>
    <t>NAME</t>
  </si>
  <si>
    <t>2023-24 (Closed)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</si>
  <si>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</si>
  <si>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</si>
  <si>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</si>
  <si>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</si>
  <si>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</si>
  <si>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</si>
  <si>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</si>
  <si>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</si>
  <si>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</si>
  <si>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</si>
  <si>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</si>
  <si>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</si>
  <si>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2023-24</t>
  </si>
  <si>
    <t>TOTALS</t>
  </si>
  <si>
    <t>2024-25 (Closed)</t>
  </si>
  <si>
    <t>2024-25</t>
  </si>
  <si>
    <t>2025-26 (Closed)</t>
  </si>
  <si>
    <t>2025-26</t>
  </si>
  <si>
    <t>2026-27 (Current)</t>
  </si>
  <si>
    <t>2026-27</t>
  </si>
  <si>
    <t>2027-28 (Forecast)</t>
  </si>
  <si>
    <t>2027-28</t>
  </si>
  <si>
    <t>Digital Services</t>
  </si>
  <si>
    <t>CC-DIGSV</t>
  </si>
  <si>
    <t>CA-DIGSV</t>
  </si>
  <si>
    <t>Cloud Infrastructure</t>
  </si>
  <si>
    <t>CC-CLOUD</t>
  </si>
  <si>
    <t>CA-CLOUD</t>
  </si>
  <si>
    <t>Automation Equipment</t>
  </si>
  <si>
    <t>CC-AUTO</t>
  </si>
  <si>
    <t>CA-AUTO</t>
  </si>
  <si>
    <t>Sales</t>
  </si>
  <si>
    <t>CC-SALES</t>
  </si>
  <si>
    <t>CC-SALAB</t>
  </si>
  <si>
    <t>Sales – Labour</t>
  </si>
  <si>
    <t>CC-SAMAT</t>
  </si>
  <si>
    <t>Sales – Materials</t>
  </si>
  <si>
    <t>CA-SALES</t>
  </si>
  <si>
    <t>Other Income (Internal)</t>
  </si>
  <si>
    <t>CC-INCME</t>
  </si>
  <si>
    <t>Other Income</t>
  </si>
  <si>
    <t>CA-INCOME</t>
  </si>
  <si>
    <t>Direct Costs</t>
  </si>
  <si>
    <t>CC-DIRCT</t>
  </si>
  <si>
    <t>CC-FUEL</t>
  </si>
  <si>
    <t>Fuel &amp; Oil</t>
  </si>
  <si>
    <t>CC-MAT</t>
  </si>
  <si>
    <t>Materials</t>
  </si>
  <si>
    <t>CC-MTRAV</t>
  </si>
  <si>
    <t>Motor Travel</t>
  </si>
  <si>
    <t>CC-MREPA</t>
  </si>
  <si>
    <t>Motors</t>
  </si>
  <si>
    <t>CC-SUB</t>
  </si>
  <si>
    <t>Subcontractors</t>
  </si>
  <si>
    <t>CA-DIRECT</t>
  </si>
  <si>
    <t>Wages</t>
  </si>
  <si>
    <t>CC-EMPNI</t>
  </si>
  <si>
    <t>Employers NI</t>
  </si>
  <si>
    <t>CC-PENSN</t>
  </si>
  <si>
    <t>Pensions</t>
  </si>
  <si>
    <t>CC-SALRY</t>
  </si>
  <si>
    <t>Salary</t>
  </si>
  <si>
    <t>CC-WAGES</t>
  </si>
  <si>
    <t>CA-WAGES</t>
  </si>
  <si>
    <t>Admin Expenses</t>
  </si>
  <si>
    <t>CC-ADMIN</t>
  </si>
  <si>
    <t>CC-ADVT</t>
  </si>
  <si>
    <t>Advertising</t>
  </si>
  <si>
    <t>CC-BANKC</t>
  </si>
  <si>
    <t>Bank Charges</t>
  </si>
  <si>
    <t>CC-EXPENSE</t>
  </si>
  <si>
    <t>Employee Expenses</t>
  </si>
  <si>
    <t>CC-INS</t>
  </si>
  <si>
    <t>Insurance</t>
  </si>
  <si>
    <t>CC-PROF</t>
  </si>
  <si>
    <t>Professional Fees</t>
  </si>
  <si>
    <t>CC-PHONE</t>
  </si>
  <si>
    <t>Telephone &amp; Internet</t>
  </si>
  <si>
    <t>CC-TRAV</t>
  </si>
  <si>
    <t>Travel &amp; Subsistence</t>
  </si>
  <si>
    <t>CA-ADMIN</t>
  </si>
  <si>
    <t>Depreciation expense</t>
  </si>
  <si>
    <t>CC-DEPFX</t>
  </si>
  <si>
    <t>Depreciation – Fixtures</t>
  </si>
  <si>
    <t>CC-DEPMV</t>
  </si>
  <si>
    <t>Depreciation – Motor Vehicles</t>
  </si>
  <si>
    <t>CC-DEPPL</t>
  </si>
  <si>
    <t>Depreciation – Plant &amp; Tools</t>
  </si>
  <si>
    <t>CA-DEPREC</t>
  </si>
  <si>
    <t>Dividends</t>
  </si>
  <si>
    <t>CC-DIVID</t>
  </si>
  <si>
    <t>CA-DIVID</t>
  </si>
  <si>
    <t>Building</t>
  </si>
  <si>
    <t>CC-LHEAT</t>
  </si>
  <si>
    <t>Light, Heat &amp; Power</t>
  </si>
  <si>
    <t>CC-RENT</t>
  </si>
  <si>
    <t>Rent &amp; Rates</t>
  </si>
  <si>
    <t>CC-REPA</t>
  </si>
  <si>
    <t>Repairs &amp; Maintenance</t>
  </si>
  <si>
    <t>CA-BUILD</t>
  </si>
  <si>
    <t>SUMMARY</t>
  </si>
  <si>
    <t>PERIOD TOTAL</t>
  </si>
  <si>
    <t>Asset Movements</t>
  </si>
  <si>
    <t>CC-DEPRJ</t>
  </si>
  <si>
    <t>Depreciation Adjustment</t>
  </si>
  <si>
    <t>CA-ASSET</t>
  </si>
  <si>
    <t>Intercompany Payment</t>
  </si>
  <si>
    <t>CC-TRNPY</t>
  </si>
  <si>
    <t>Transfer Payment</t>
  </si>
  <si>
    <t>CA-IP</t>
  </si>
  <si>
    <t>Intercompany Receipt</t>
  </si>
  <si>
    <t>CC-TRNRC</t>
  </si>
  <si>
    <t>Transfer Receipt</t>
  </si>
  <si>
    <t>CA-IR</t>
  </si>
  <si>
    <t>Bank Accounts</t>
  </si>
  <si>
    <t>CC-BANK</t>
  </si>
  <si>
    <t>Bank</t>
  </si>
  <si>
    <t>CA-BANK</t>
  </si>
  <si>
    <t>Investments / Capital</t>
  </si>
  <si>
    <t>CC-SHCAP</t>
  </si>
  <si>
    <t>Share Capital</t>
  </si>
  <si>
    <t>CA-INVEST</t>
  </si>
  <si>
    <t>Liabilities</t>
  </si>
  <si>
    <t>CC-LOAN</t>
  </si>
  <si>
    <t>Loan / Liability</t>
  </si>
  <si>
    <t>CA-LIAB</t>
  </si>
  <si>
    <t>TRADE TOTALS</t>
  </si>
  <si>
    <t>Turnover</t>
  </si>
  <si>
    <t>CT-TURNOV</t>
  </si>
  <si>
    <t>CT-OTHRIN</t>
  </si>
  <si>
    <t>Cost of Sales</t>
  </si>
  <si>
    <t>CT-CSTSAL</t>
  </si>
  <si>
    <t>Staff Costs</t>
  </si>
  <si>
    <t>CT-STAFFC</t>
  </si>
  <si>
    <t>Overheads</t>
  </si>
  <si>
    <t>CT-OVERHD</t>
  </si>
  <si>
    <t>Gross Profit</t>
  </si>
  <si>
    <t>CT-GROSSP</t>
  </si>
  <si>
    <t>Profit and Loss</t>
  </si>
  <si>
    <t>CT-PANDL</t>
  </si>
  <si>
    <t>Tax on Goods (VAT / General)</t>
  </si>
  <si>
    <t>CC-GENTX</t>
  </si>
  <si>
    <t>General Taxes</t>
  </si>
  <si>
    <t>CC-VAT</t>
  </si>
  <si>
    <t>VAT Control</t>
  </si>
  <si>
    <t>CA-TAXGD</t>
  </si>
  <si>
    <t>Tax on Company (Biz)</t>
  </si>
  <si>
    <t>CC-BIZTX</t>
  </si>
  <si>
    <t>Business Tax</t>
  </si>
  <si>
    <t>CA-TAXCO</t>
  </si>
  <si>
    <t>ANALYSIS</t>
  </si>
  <si>
    <t>Gross Margin %</t>
  </si>
  <si>
    <t>CE-GP</t>
  </si>
  <si>
    <t>Net Profit %</t>
  </si>
  <si>
    <t>CE-NP</t>
  </si>
  <si>
    <t>Wages Ratio</t>
  </si>
  <si>
    <t>CE-WP</t>
  </si>
  <si>
    <t>Admin Cost Ratio</t>
  </si>
  <si>
    <t>CE-AP</t>
  </si>
  <si>
    <t>Direct Cost Ratio</t>
  </si>
  <si>
    <t>CE-DP</t>
  </si>
  <si>
    <t>Depreciation Ratio</t>
  </si>
  <si>
    <t>CE-DE</t>
  </si>
  <si>
    <t>Overhead Coverage Ratio</t>
  </si>
  <si>
    <t>CE-OC</t>
  </si>
  <si>
    <t>Revenue-to-Wages Ratio</t>
  </si>
  <si>
    <t>CE-RS</t>
  </si>
  <si>
    <t>Cash Operating Surplus % (Structured)</t>
  </si>
  <si>
    <t>CE-COS</t>
  </si>
  <si>
    <t>Labour Margin %</t>
  </si>
  <si>
    <t>CE-LM</t>
  </si>
  <si>
    <t>Materials Margin %</t>
  </si>
  <si>
    <t>CE-MM</t>
  </si>
  <si>
    <t>Subcontractor Dependency Ratio</t>
  </si>
  <si>
    <t>CE-SDR</t>
  </si>
  <si>
    <t>Effective Tax Rate</t>
  </si>
  <si>
    <t>CE-ETR</t>
  </si>
  <si>
    <t>CLOSING BALANCE</t>
  </si>
  <si>
    <t>CurrentAcc</t>
  </si>
  <si>
    <t>CURRENT ACCOUNT</t>
  </si>
  <si>
    <t>Reserveacc</t>
  </si>
  <si>
    <t>COMPANY BALANCE</t>
  </si>
  <si>
    <t>VAT QUARTERLY</t>
  </si>
  <si>
    <t>VAT DUE SALES</t>
  </si>
  <si>
    <t>VAT DUE ACQUISITIONS</t>
  </si>
  <si>
    <t>TOTAL VAT DUE</t>
  </si>
  <si>
    <t>VAT RECLAIMED CURRENT PERIOD</t>
  </si>
  <si>
    <t>TOTAL VALUE SALES EX VAT</t>
  </si>
  <si>
    <t>TOTAL VALUE PURCHASES EX VAT</t>
  </si>
  <si>
    <t>TOTAL VALUE GOODS SUPPLIED EX VAT</t>
  </si>
  <si>
    <t>TOTAL VALUE GOODS RECEIVED EX VAT</t>
  </si>
  <si>
    <t>NET VAT DUE</t>
  </si>
  <si>
    <t>VAT TOTALS</t>
  </si>
  <si>
    <t>BALANCE SHEET</t>
  </si>
  <si>
    <t>CALUP</t>
  </si>
  <si>
    <t>CALLED UP SHARE CAPITAL</t>
  </si>
  <si>
    <t>EQUADJ</t>
  </si>
  <si>
    <t>EQUIPMENT ADJUSTMENTS</t>
  </si>
  <si>
    <t>BANK</t>
  </si>
  <si>
    <t>CASH</t>
  </si>
  <si>
    <t>DEBTORS</t>
  </si>
  <si>
    <t>LONLIA</t>
  </si>
  <si>
    <t>LONGTERM LIABILITIES</t>
  </si>
  <si>
    <t>FIXTUR</t>
  </si>
  <si>
    <t>FIXTURES</t>
  </si>
  <si>
    <t>MOTVEH</t>
  </si>
  <si>
    <t>MOTOR VEHICLES</t>
  </si>
  <si>
    <t>PLATOO</t>
  </si>
  <si>
    <t>PLANT &amp; TOOLS</t>
  </si>
  <si>
    <t>COR</t>
  </si>
  <si>
    <t>CORPORATION TAX</t>
  </si>
  <si>
    <t>VAT</t>
  </si>
  <si>
    <t>CREDITORS</t>
  </si>
  <si>
    <t>CAPITAL</t>
  </si>
  <si>
    <t>Submission checks (Does it add up?)</t>
  </si>
  <si>
    <t>Tolerance</t>
  </si>
  <si>
    <t>Status</t>
  </si>
  <si>
    <t>Year</t>
  </si>
  <si>
    <t>Description</t>
  </si>
  <si>
    <t>OpeningCapital</t>
  </si>
  <si>
    <t>ClosingCapital</t>
  </si>
  <si>
    <t>Profit</t>
  </si>
  <si>
    <t>BusinessTax</t>
  </si>
  <si>
    <t>ProfitAfterTax</t>
  </si>
  <si>
    <t>CapitalMovement</t>
  </si>
  <si>
    <t>OpeningSubjectPosition</t>
  </si>
  <si>
    <t>OpeningAccountPosition</t>
  </si>
  <si>
    <t>CapitalDelta</t>
  </si>
  <si>
    <t>BridgeTotal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</si>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</sst>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(#,##0\);_-"/>
    <numFmt numFmtId="165" formatCode="#,##0.00;[Red]\(#,##0.00\);_-"/>
  </numFmts>
  <fonts count="10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8"/>
      <color rgb="FF000000"/>
      <name val="Calibri"/>
      <family val="2"/>
    </font>
    <font>
      <b/>
      <sz val="11"/>
      <color rgb="FFFFFFFF"/>
      <name val="Calibri"/>
      <family val="2"/>
    </font>
    <font>
      <b/>
      <sz val="12"/>
      <color rgb="FF000000"/>
      <name val="Calibri"/>
      <family val="2"/>
    </font>
    <font>
      <b/>
      <sz val="11"/>
      <color rgb="FF6495ED"/>
      <name val="Calibri"/>
      <family val="2"/>
    </font>
    <font>
      <b/>
      <sz val="11"/>
      <color rgb="FFFFA07A"/>
      <name val="Calibri"/>
      <family val="2"/>
    </font>
    <font>
      <b/>
      <sz val="11"/>
      <color rgb="FFD3D3D3"/>
      <name val="Calibri"/>
      <family val="2"/>
    </font>
    <font>
      <sz val="11"/>
      <color rgb="FF32CD32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6495ED"/>
      </patternFill>
    </fill>
    <fill>
      <patternFill patternType="solid">
        <fgColor rgb="FFFFA07A"/>
      </patternFill>
    </fill>
    <fill>
      <patternFill patternType="solid">
        <fgColor rgb="FF90EE90"/>
      </patternFill>
    </fill>
    <fill>
      <patternFill patternType="solid">
        <fgColor rgb="FFD3D3D3"/>
      </patternFill>
    </fill>
    <fill>
      <patternFill patternType="solid">
        <fgColor rgb="FFADFF2F"/>
      </patternFill>
    </fill>
    <fill>
      <patternFill patternType="solid">
        <fgColor rgb="FF32CD32"/>
      </patternFill>
    </fill>
    <fill>
      <patternFill patternType="solid">
        <fgColor rgb="FFB0C4DE"/>
      </patternFill>
    </fill>
    <fill>
      <patternFill patternType="solid">
        <fgColor rgb="FFDA70D6"/>
      </patternFill>
    </fill>
    <fill>
      <patternFill patternType="solid">
        <fgColor rgb="FFFF0000"/>
      </patternFill>
    </fill>
  </fills>
  <borders count="18"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n">
        <color rgb="FF000000"/>
      </left>
      <right style="thick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 applyBorder="0"/>
  </cellStyleXfs>
  <cellXfs count="115">
    <xf numFmtId="0" fontId="0" fillId="0" borderId="0" xfId="0"/>
    <xf numFmtId="0" fontId="0" fillId="0" borderId="0" xfId="0" applyProtection="1">
      <protection locked="0"/>
    </xf>
    <xf numFmtId="0" fontId="0" fillId="0" borderId="1" xfId="0" applyBorder="1"/>
    <xf numFmtId="164" fontId="0" fillId="0" borderId="0" xfId="0" applyNumberFormat="1" applyProtection="1">
      <protection locked="0"/>
    </xf>
    <xf numFmtId="164" fontId="1" fillId="0" borderId="2" xfId="0" applyNumberFormat="1" applyFont="1" applyBorder="1"/>
    <xf numFmtId="164" fontId="0" fillId="2" borderId="0" xfId="0" applyNumberFormat="1" applyFill="1" applyProtection="1">
      <protection locked="0"/>
    </xf>
    <xf numFmtId="0" fontId="2" fillId="0" borderId="0" xfId="0" applyFont="1"/>
    <xf numFmtId="0" fontId="3" fillId="0" borderId="3" xfId="0" applyFont="1" applyBorder="1"/>
    <xf numFmtId="0" fontId="1" fillId="0" borderId="4" xfId="0" applyFont="1" applyBorder="1" applyProtection="1">
      <protection locked="0"/>
    </xf>
    <xf numFmtId="0" fontId="1" fillId="3" borderId="5" xfId="0" applyFont="1" applyFill="1" applyBorder="1" applyProtection="1">
      <protection locked="0"/>
    </xf>
    <xf numFmtId="0" fontId="1" fillId="4" borderId="5" xfId="0" applyFont="1" applyFill="1" applyBorder="1" applyProtection="1">
      <protection locked="0"/>
    </xf>
    <xf numFmtId="0" fontId="1" fillId="5" borderId="5" xfId="0" applyFont="1" applyFill="1" applyBorder="1"/>
    <xf numFmtId="0" fontId="0" fillId="0" borderId="6" xfId="0" applyBorder="1"/>
    <xf numFmtId="0" fontId="1" fillId="0" borderId="3" xfId="0" applyFont="1" applyBorder="1"/>
    <xf numFmtId="0" fontId="1" fillId="6" borderId="5" xfId="0" applyFont="1" applyFill="1" applyBorder="1" applyProtection="1">
      <protection locked="0"/>
    </xf>
    <xf numFmtId="0" fontId="1" fillId="7" borderId="5" xfId="0" applyFont="1" applyFill="1" applyBorder="1" applyProtection="1">
      <protection locked="0"/>
    </xf>
    <xf numFmtId="0" fontId="1" fillId="8" borderId="5" xfId="0" applyFont="1" applyFill="1" applyBorder="1"/>
    <xf numFmtId="9" fontId="0" fillId="0" borderId="0" xfId="0" applyNumberFormat="1"/>
    <xf numFmtId="2" fontId="0" fillId="0" borderId="0" xfId="0" applyNumberFormat="1"/>
    <xf numFmtId="9" fontId="0" fillId="0" borderId="6" xfId="0" applyNumberFormat="1" applyBorder="1"/>
    <xf numFmtId="0" fontId="1" fillId="9" borderId="5" xfId="0" applyFont="1" applyFill="1" applyBorder="1"/>
    <xf numFmtId="0" fontId="1" fillId="0" borderId="5" xfId="0" applyFont="1" applyBorder="1" applyProtection="1">
      <protection locked="0"/>
    </xf>
    <xf numFmtId="0" fontId="1" fillId="10" borderId="5" xfId="0" applyFont="1" applyFill="1" applyBorder="1"/>
    <xf numFmtId="0" fontId="1" fillId="0" borderId="6" xfId="0" applyFont="1" applyBorder="1" applyProtection="1">
      <protection locked="0"/>
    </xf>
    <xf numFmtId="0" fontId="0" fillId="0" borderId="7" xfId="0" applyBorder="1" applyProtection="1">
      <protection locked="0"/>
    </xf>
    <xf numFmtId="0" fontId="4" fillId="11" borderId="5" xfId="0" applyFont="1" applyFill="1" applyBorder="1"/>
    <xf numFmtId="0" fontId="5" fillId="0" borderId="0" xfId="0" applyFont="1"/>
    <xf numFmtId="164" fontId="0" fillId="0" borderId="0" xfId="0" applyNumberFormat="1"/>
    <xf numFmtId="164" fontId="0" fillId="2" borderId="0" xfId="0" applyNumberFormat="1" applyFill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164" fontId="2" fillId="0" borderId="0" xfId="0" applyNumberFormat="1" applyFont="1"/>
    <xf numFmtId="164" fontId="2" fillId="0" borderId="2" xfId="0" applyNumberFormat="1" applyFont="1" applyBorder="1"/>
    <xf numFmtId="164" fontId="2" fillId="2" borderId="0" xfId="0" applyNumberFormat="1" applyFont="1" applyFill="1"/>
    <xf numFmtId="0" fontId="3" fillId="0" borderId="8" xfId="0" applyFont="1" applyBorder="1"/>
    <xf numFmtId="164" fontId="3" fillId="0" borderId="3" xfId="0" applyNumberFormat="1" applyFont="1" applyBorder="1"/>
    <xf numFmtId="164" fontId="3" fillId="0" borderId="9" xfId="0" applyNumberFormat="1" applyFont="1" applyBorder="1"/>
    <xf numFmtId="164" fontId="3" fillId="2" borderId="3" xfId="0" applyNumberFormat="1" applyFont="1" applyFill="1" applyBorder="1"/>
    <xf numFmtId="0" fontId="1" fillId="0" borderId="4" xfId="0" applyFont="1" applyBorder="1"/>
    <xf numFmtId="0" fontId="1" fillId="0" borderId="10" xfId="0" applyFont="1" applyBorder="1"/>
    <xf numFmtId="164" fontId="1" fillId="0" borderId="4" xfId="0" applyNumberFormat="1" applyFont="1" applyBorder="1" applyProtection="1">
      <protection locked="0"/>
    </xf>
    <xf numFmtId="164" fontId="1" fillId="0" borderId="11" xfId="0" applyNumberFormat="1" applyFont="1" applyBorder="1"/>
    <xf numFmtId="164" fontId="1" fillId="2" borderId="4" xfId="0" applyNumberFormat="1" applyFont="1" applyFill="1" applyBorder="1" applyProtection="1">
      <protection locked="0"/>
    </xf>
    <xf numFmtId="0" fontId="1" fillId="3" borderId="5" xfId="0" applyFont="1" applyFill="1" applyBorder="1"/>
    <xf numFmtId="0" fontId="1" fillId="3" borderId="12" xfId="0" applyFont="1" applyFill="1" applyBorder="1"/>
    <xf numFmtId="0" fontId="6" fillId="3" borderId="5" xfId="0" applyFont="1" applyFill="1" applyBorder="1"/>
    <xf numFmtId="164" fontId="1" fillId="3" borderId="5" xfId="0" applyNumberFormat="1" applyFont="1" applyFill="1" applyBorder="1" applyProtection="1">
      <protection locked="0"/>
    </xf>
    <xf numFmtId="164" fontId="1" fillId="3" borderId="13" xfId="0" applyNumberFormat="1" applyFont="1" applyFill="1" applyBorder="1"/>
    <xf numFmtId="0" fontId="1" fillId="4" borderId="5" xfId="0" applyFont="1" applyFill="1" applyBorder="1"/>
    <xf numFmtId="0" fontId="1" fillId="4" borderId="12" xfId="0" applyFont="1" applyFill="1" applyBorder="1"/>
    <xf numFmtId="0" fontId="7" fillId="4" borderId="5" xfId="0" applyFont="1" applyFill="1" applyBorder="1"/>
    <xf numFmtId="164" fontId="1" fillId="4" borderId="5" xfId="0" applyNumberFormat="1" applyFont="1" applyFill="1" applyBorder="1" applyProtection="1">
      <protection locked="0"/>
    </xf>
    <xf numFmtId="164" fontId="1" fillId="4" borderId="13" xfId="0" applyNumberFormat="1" applyFont="1" applyFill="1" applyBorder="1"/>
    <xf numFmtId="0" fontId="1" fillId="5" borderId="12" xfId="0" applyFont="1" applyFill="1" applyBorder="1"/>
    <xf numFmtId="164" fontId="1" fillId="5" borderId="5" xfId="0" applyNumberFormat="1" applyFont="1" applyFill="1" applyBorder="1"/>
    <xf numFmtId="164" fontId="1" fillId="5" borderId="13" xfId="0" applyNumberFormat="1" applyFont="1" applyFill="1" applyBorder="1"/>
    <xf numFmtId="0" fontId="0" fillId="0" borderId="14" xfId="0" applyBorder="1"/>
    <xf numFmtId="164" fontId="0" fillId="0" borderId="6" xfId="0" applyNumberFormat="1" applyBorder="1"/>
    <xf numFmtId="164" fontId="1" fillId="0" borderId="15" xfId="0" applyNumberFormat="1" applyFont="1" applyBorder="1"/>
    <xf numFmtId="164" fontId="0" fillId="2" borderId="6" xfId="0" applyNumberFormat="1" applyFill="1" applyBorder="1"/>
    <xf numFmtId="0" fontId="1" fillId="0" borderId="8" xfId="0" applyFont="1" applyBorder="1"/>
    <xf numFmtId="164" fontId="1" fillId="0" borderId="3" xfId="0" applyNumberFormat="1" applyFont="1" applyBorder="1"/>
    <xf numFmtId="164" fontId="1" fillId="0" borderId="9" xfId="0" applyNumberFormat="1" applyFont="1" applyBorder="1"/>
    <xf numFmtId="164" fontId="1" fillId="2" borderId="3" xfId="0" applyNumberFormat="1" applyFont="1" applyFill="1" applyBorder="1"/>
    <xf numFmtId="0" fontId="1" fillId="6" borderId="5" xfId="0" applyFont="1" applyFill="1" applyBorder="1"/>
    <xf numFmtId="0" fontId="1" fillId="6" borderId="12" xfId="0" applyFont="1" applyFill="1" applyBorder="1"/>
    <xf numFmtId="0" fontId="8" fillId="6" borderId="5" xfId="0" applyFont="1" applyFill="1" applyBorder="1"/>
    <xf numFmtId="164" fontId="1" fillId="6" borderId="5" xfId="0" applyNumberFormat="1" applyFont="1" applyFill="1" applyBorder="1" applyProtection="1">
      <protection locked="0"/>
    </xf>
    <xf numFmtId="164" fontId="1" fillId="6" borderId="13" xfId="0" applyNumberFormat="1" applyFont="1" applyFill="1" applyBorder="1"/>
    <xf numFmtId="0" fontId="1" fillId="7" borderId="5" xfId="0" applyFont="1" applyFill="1" applyBorder="1"/>
    <xf numFmtId="0" fontId="1" fillId="7" borderId="12" xfId="0" applyFont="1" applyFill="1" applyBorder="1"/>
    <xf numFmtId="164" fontId="1" fillId="7" borderId="5" xfId="0" applyNumberFormat="1" applyFont="1" applyFill="1" applyBorder="1" applyProtection="1">
      <protection locked="0"/>
    </xf>
    <xf numFmtId="164" fontId="1" fillId="7" borderId="13" xfId="0" applyNumberFormat="1" applyFont="1" applyFill="1" applyBorder="1"/>
    <xf numFmtId="0" fontId="1" fillId="8" borderId="12" xfId="0" applyFont="1" applyFill="1" applyBorder="1"/>
    <xf numFmtId="164" fontId="1" fillId="8" borderId="5" xfId="0" applyNumberFormat="1" applyFont="1" applyFill="1" applyBorder="1"/>
    <xf numFmtId="164" fontId="1" fillId="8" borderId="13" xfId="0" applyNumberFormat="1" applyFont="1" applyFill="1" applyBorder="1"/>
    <xf numFmtId="9" fontId="0" fillId="0" borderId="1" xfId="0" applyNumberFormat="1" applyBorder="1"/>
    <xf numFmtId="9" fontId="9" fillId="0" borderId="0" xfId="0" applyNumberFormat="1" applyFont="1"/>
    <xf numFmtId="9" fontId="1" fillId="0" borderId="2" xfId="0" applyNumberFormat="1" applyFont="1" applyBorder="1"/>
    <xf numFmtId="9" fontId="0" fillId="2" borderId="0" xfId="0" applyNumberFormat="1" applyFill="1"/>
    <xf numFmtId="2" fontId="0" fillId="0" borderId="1" xfId="0" applyNumberFormat="1" applyBorder="1"/>
    <xf numFmtId="2" fontId="9" fillId="0" borderId="0" xfId="0" applyNumberFormat="1" applyFont="1"/>
    <xf numFmtId="2" fontId="1" fillId="0" borderId="2" xfId="0" applyNumberFormat="1" applyFont="1" applyBorder="1"/>
    <xf numFmtId="2" fontId="0" fillId="2" borderId="0" xfId="0" applyNumberFormat="1" applyFill="1"/>
    <xf numFmtId="9" fontId="0" fillId="0" borderId="14" xfId="0" applyNumberFormat="1" applyBorder="1"/>
    <xf numFmtId="9" fontId="9" fillId="0" borderId="6" xfId="0" applyNumberFormat="1" applyFont="1" applyBorder="1"/>
    <xf numFmtId="9" fontId="1" fillId="0" borderId="15" xfId="0" applyNumberFormat="1" applyFont="1" applyBorder="1"/>
    <xf numFmtId="9" fontId="0" fillId="2" borderId="6" xfId="0" applyNumberFormat="1" applyFill="1" applyBorder="1"/>
    <xf numFmtId="0" fontId="1" fillId="9" borderId="12" xfId="0" applyFont="1" applyFill="1" applyBorder="1"/>
    <xf numFmtId="164" fontId="1" fillId="9" borderId="5" xfId="0" applyNumberFormat="1" applyFont="1" applyFill="1" applyBorder="1"/>
    <xf numFmtId="164" fontId="1" fillId="9" borderId="13" xfId="0" applyNumberFormat="1" applyFont="1" applyFill="1" applyBorder="1"/>
    <xf numFmtId="0" fontId="1" fillId="0" borderId="5" xfId="0" applyFont="1" applyBorder="1"/>
    <xf numFmtId="0" fontId="1" fillId="0" borderId="12" xfId="0" applyFont="1" applyBorder="1"/>
    <xf numFmtId="164" fontId="1" fillId="0" borderId="5" xfId="0" applyNumberFormat="1" applyFont="1" applyBorder="1" applyProtection="1">
      <protection locked="0"/>
    </xf>
    <xf numFmtId="164" fontId="1" fillId="0" borderId="13" xfId="0" applyNumberFormat="1" applyFont="1" applyBorder="1"/>
    <xf numFmtId="164" fontId="1" fillId="2" borderId="5" xfId="0" applyNumberFormat="1" applyFont="1" applyFill="1" applyBorder="1" applyProtection="1">
      <protection locked="0"/>
    </xf>
    <xf numFmtId="0" fontId="1" fillId="10" borderId="12" xfId="0" applyFont="1" applyFill="1" applyBorder="1"/>
    <xf numFmtId="164" fontId="1" fillId="10" borderId="5" xfId="0" applyNumberFormat="1" applyFont="1" applyFill="1" applyBorder="1"/>
    <xf numFmtId="164" fontId="1" fillId="10" borderId="13" xfId="0" applyNumberFormat="1" applyFont="1" applyFill="1" applyBorder="1"/>
    <xf numFmtId="0" fontId="0" fillId="0" borderId="7" xfId="0" applyBorder="1"/>
    <xf numFmtId="0" fontId="0" fillId="0" borderId="16" xfId="0" applyBorder="1"/>
    <xf numFmtId="164" fontId="0" fillId="0" borderId="7" xfId="0" applyNumberFormat="1" applyBorder="1" applyProtection="1">
      <protection locked="0"/>
    </xf>
    <xf numFmtId="164" fontId="1" fillId="0" borderId="17" xfId="0" applyNumberFormat="1" applyFont="1" applyBorder="1"/>
    <xf numFmtId="164" fontId="0" fillId="2" borderId="7" xfId="0" applyNumberFormat="1" applyFill="1" applyBorder="1" applyProtection="1">
      <protection locked="0"/>
    </xf>
    <xf numFmtId="0" fontId="1" fillId="0" borderId="6" xfId="0" applyFont="1" applyBorder="1"/>
    <xf numFmtId="0" fontId="1" fillId="0" borderId="14" xfId="0" applyFont="1" applyBorder="1"/>
    <xf numFmtId="164" fontId="1" fillId="0" borderId="6" xfId="0" applyNumberFormat="1" applyFont="1" applyBorder="1" applyProtection="1">
      <protection locked="0"/>
    </xf>
    <xf numFmtId="164" fontId="1" fillId="2" borderId="6" xfId="0" applyNumberFormat="1" applyFont="1" applyFill="1" applyBorder="1" applyProtection="1">
      <protection locked="0"/>
    </xf>
    <xf numFmtId="0" fontId="4" fillId="11" borderId="12" xfId="0" applyFont="1" applyFill="1" applyBorder="1"/>
    <xf numFmtId="164" fontId="4" fillId="11" borderId="5" xfId="0" applyNumberFormat="1" applyFont="1" applyFill="1" applyBorder="1"/>
    <xf numFmtId="164" fontId="4" fillId="11" borderId="13" xfId="0" applyNumberFormat="1" applyFont="1" applyFill="1" applyBorder="1"/>
    <xf numFmtId="0" fontId="1" fillId="0" borderId="0" xfId="0" applyFont="1"/>
    <xf numFmtId="165" fontId="0" fillId="0" borderId="0" xfId="0" applyNumberFormat="1"/>
    <xf numFmtId="165" fontId="1" fillId="0" borderId="0" xfId="0" applyNumberFormat="1" applyFont="1"/>
    <xf numFmtId="165" fontId="1" fillId="0" borderId="6" xfId="0" applyNumberFormat="1" applyFont="1" applyBorder="1"/>
  </cellXfs>
  <cellStyles count="1">
    <cellStyle name="Normal" xfId="0" builtinId="0"/>
  </cellStyles>
  <dxfs count="7">
    <dxf>
      <font>
        <color rgb="FF006400"/>
      </font>
      <fill>
        <patternFill patternType="solid">
          <fgColor auto="1"/>
          <bgColor rgb="FF90EE90"/>
        </patternFill>
      </fill>
    </dxf>
    <dxf>
      <font>
        <color rgb="FFFF8C00"/>
      </font>
      <fill>
        <patternFill patternType="solid">
          <fgColor auto="1"/>
          <bgColor rgb="FFFFFFE0"/>
        </patternFill>
      </fill>
    </dxf>
    <dxf>
      <font>
        <color rgb="FFFF0000"/>
      </font>
      <fill>
        <patternFill patternType="solid">
          <fgColor auto="1"/>
          <bgColor rgb="FFFFB6C1"/>
        </patternFill>
      </fill>
    </dxf>
    <dxf>
      <font>
        <color rgb="FF006400"/>
      </font>
      <fill>
        <patternFill patternType="solid">
          <fgColor auto="1"/>
          <bgColor rgb="FF90EE90"/>
        </patternFill>
      </fill>
    </dxf>
    <dxf>
      <font>
        <color rgb="FFFF8C00"/>
      </font>
      <fill>
        <patternFill patternType="solid">
          <fgColor auto="1"/>
          <bgColor rgb="FFFFFFE0"/>
        </patternFill>
      </fill>
    </dxf>
    <dxf>
      <font>
        <color rgb="FFFF0000"/>
      </font>
      <fill>
        <patternFill patternType="solid">
          <fgColor auto="1"/>
          <bgColor rgb="FFFFB6C1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96"/>
  <sheetViews>
    <sheetView tabSelected="1" workbookViewId="0">
      <pane xSplit="3" ySplit="4" topLeftCell="D5" activePane="bottomRight" state="frozenSplit"/>
      <selection pane="topRight"/>
      <selection pane="bottomLeft"/>
      <selection pane="bottomRight" activeCell="D5" sqref="D5"/>
    </sheetView>
  </sheetViews>
  <sheetFormatPr defaultRowHeight="15" x14ac:dyDescent="0.25"/>
  <cols>
    <col min="1" max="1" width="9.7109375" customWidth="1"/>
    <col min="2" max="2" width="25.7109375" style="2" customWidth="1"/>
    <col min="3" max="3" width="9.140625" hidden="1" customWidth="1"/>
    <col min="4" max="15" width="9.7109375" style="3" customWidth="1"/>
    <col min="16" max="16" width="9.7109375" style="4" customWidth="1"/>
    <col min="17" max="28" width="9.7109375" style="3" customWidth="1"/>
    <col min="29" max="29" width="9.7109375" style="4" customWidth="1"/>
    <col min="30" max="41" width="9.7109375" style="3" customWidth="1"/>
    <col min="42" max="42" width="9.7109375" style="4" customWidth="1"/>
    <col min="43" max="43" width="9.7109375" style="5" customWidth="1"/>
    <col min="44" max="54" width="9.7109375" style="3" customWidth="1"/>
    <col min="55" max="55" width="9.7109375" style="4" customWidth="1"/>
    <col min="56" max="67" width="9.7109375" style="3" customWidth="1"/>
    <col min="68" max="68" width="9.7109375" style="4" customWidth="1"/>
    <col min="69" max="69" width="9.140625" style="1" customWidth="1"/>
    <col min="70" max="16384" width="9.140625" style="1"/>
  </cols>
  <sheetData>
    <row r="1" spans="1:68" customFormat="1" ht="15.75" x14ac:dyDescent="0.25">
      <c r="A1" s="26" t="s">
        <v>0</v>
      </c>
      <c r="B1" s="2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4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4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4"/>
      <c r="AQ1" s="28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4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4"/>
    </row>
    <row r="2" spans="1:68" customFormat="1" x14ac:dyDescent="0.25">
      <c r="A2" s="6" t="s">
        <v>1</v>
      </c>
      <c r="B2" s="29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4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4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4"/>
      <c r="AQ2" s="28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4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4"/>
    </row>
    <row r="3" spans="1:68" s="6" customFormat="1" ht="12.75" x14ac:dyDescent="0.2">
      <c r="A3" s="6" t="s">
        <v>2</v>
      </c>
      <c r="B3" s="30" t="s">
        <v>3</v>
      </c>
      <c r="D3" s="31" t="s">
        <v>6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2" t="s">
        <v>19</v>
      </c>
      <c r="Q3" s="31" t="s">
        <v>21</v>
      </c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2" t="s">
        <v>22</v>
      </c>
      <c r="AD3" s="31" t="s">
        <v>23</v>
      </c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2" t="s">
        <v>24</v>
      </c>
      <c r="AQ3" s="33" t="s">
        <v>25</v>
      </c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2" t="s">
        <v>26</v>
      </c>
      <c r="BD3" s="31" t="s">
        <v>27</v>
      </c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2" t="s">
        <v>28</v>
      </c>
    </row>
    <row r="4" spans="1:68" s="7" customFormat="1" ht="11.25" x14ac:dyDescent="0.2">
      <c r="A4" s="7" t="s">
        <v>4</v>
      </c>
      <c r="B4" s="34" t="s">
        <v>5</v>
      </c>
      <c r="D4" s="35" t="s">
        <v>7</v>
      </c>
      <c r="E4" s="35" t="s">
        <v>8</v>
      </c>
      <c r="F4" s="35" t="s">
        <v>9</v>
      </c>
      <c r="G4" s="35" t="s">
        <v>10</v>
      </c>
      <c r="H4" s="35" t="s">
        <v>11</v>
      </c>
      <c r="I4" s="35" t="s">
        <v>12</v>
      </c>
      <c r="J4" s="35" t="s">
        <v>13</v>
      </c>
      <c r="K4" s="35" t="s">
        <v>14</v>
      </c>
      <c r="L4" s="35" t="s">
        <v>15</v>
      </c>
      <c r="M4" s="35" t="s">
        <v>16</v>
      </c>
      <c r="N4" s="35" t="s">
        <v>17</v>
      </c>
      <c r="O4" s="35" t="s">
        <v>18</v>
      </c>
      <c r="P4" s="36" t="s">
        <v>20</v>
      </c>
      <c r="Q4" s="35" t="s">
        <v>7</v>
      </c>
      <c r="R4" s="35" t="s">
        <v>8</v>
      </c>
      <c r="S4" s="35" t="s">
        <v>9</v>
      </c>
      <c r="T4" s="35" t="s">
        <v>10</v>
      </c>
      <c r="U4" s="35" t="s">
        <v>11</v>
      </c>
      <c r="V4" s="35" t="s">
        <v>12</v>
      </c>
      <c r="W4" s="35" t="s">
        <v>13</v>
      </c>
      <c r="X4" s="35" t="s">
        <v>14</v>
      </c>
      <c r="Y4" s="35" t="s">
        <v>15</v>
      </c>
      <c r="Z4" s="35" t="s">
        <v>16</v>
      </c>
      <c r="AA4" s="35" t="s">
        <v>17</v>
      </c>
      <c r="AB4" s="35" t="s">
        <v>18</v>
      </c>
      <c r="AC4" s="36" t="s">
        <v>20</v>
      </c>
      <c r="AD4" s="35" t="s">
        <v>7</v>
      </c>
      <c r="AE4" s="35" t="s">
        <v>8</v>
      </c>
      <c r="AF4" s="35" t="s">
        <v>9</v>
      </c>
      <c r="AG4" s="35" t="s">
        <v>10</v>
      </c>
      <c r="AH4" s="35" t="s">
        <v>11</v>
      </c>
      <c r="AI4" s="35" t="s">
        <v>12</v>
      </c>
      <c r="AJ4" s="35" t="s">
        <v>13</v>
      </c>
      <c r="AK4" s="35" t="s">
        <v>14</v>
      </c>
      <c r="AL4" s="35" t="s">
        <v>15</v>
      </c>
      <c r="AM4" s="35" t="s">
        <v>16</v>
      </c>
      <c r="AN4" s="35" t="s">
        <v>17</v>
      </c>
      <c r="AO4" s="35" t="s">
        <v>18</v>
      </c>
      <c r="AP4" s="36" t="s">
        <v>20</v>
      </c>
      <c r="AQ4" s="37" t="s">
        <v>7</v>
      </c>
      <c r="AR4" s="35" t="s">
        <v>8</v>
      </c>
      <c r="AS4" s="35" t="s">
        <v>9</v>
      </c>
      <c r="AT4" s="35" t="s">
        <v>10</v>
      </c>
      <c r="AU4" s="35" t="s">
        <v>11</v>
      </c>
      <c r="AV4" s="35" t="s">
        <v>12</v>
      </c>
      <c r="AW4" s="35" t="s">
        <v>13</v>
      </c>
      <c r="AX4" s="35" t="s">
        <v>14</v>
      </c>
      <c r="AY4" s="35" t="s">
        <v>15</v>
      </c>
      <c r="AZ4" s="35" t="s">
        <v>16</v>
      </c>
      <c r="BA4" s="35" t="s">
        <v>17</v>
      </c>
      <c r="BB4" s="35" t="s">
        <v>18</v>
      </c>
      <c r="BC4" s="36" t="s">
        <v>20</v>
      </c>
      <c r="BD4" s="35" t="s">
        <v>7</v>
      </c>
      <c r="BE4" s="35" t="s">
        <v>8</v>
      </c>
      <c r="BF4" s="35" t="s">
        <v>9</v>
      </c>
      <c r="BG4" s="35" t="s">
        <v>10</v>
      </c>
      <c r="BH4" s="35" t="s">
        <v>11</v>
      </c>
      <c r="BI4" s="35" t="s">
        <v>12</v>
      </c>
      <c r="BJ4" s="35" t="s">
        <v>13</v>
      </c>
      <c r="BK4" s="35" t="s">
        <v>14</v>
      </c>
      <c r="BL4" s="35" t="s">
        <v>15</v>
      </c>
      <c r="BM4" s="35" t="s">
        <v>16</v>
      </c>
      <c r="BN4" s="35" t="s">
        <v>17</v>
      </c>
      <c r="BO4" s="35" t="s">
        <v>18</v>
      </c>
      <c r="BP4" s="36" t="s">
        <v>20</v>
      </c>
    </row>
    <row r="6" spans="1:68" s="8" customFormat="1" x14ac:dyDescent="0.25">
      <c r="A6" s="38" t="s">
        <v>29</v>
      </c>
      <c r="B6" s="39"/>
      <c r="C6" s="38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1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1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1"/>
      <c r="AQ6" s="42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1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1"/>
    </row>
    <row r="7" spans="1:68" x14ac:dyDescent="0.25">
      <c r="A7" t="s">
        <v>30</v>
      </c>
      <c r="B7" s="2" t="s">
        <v>29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4">
        <f>SUM(D7:O7)</f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4">
        <f>SUM(Q7:AB7)</f>
        <v>0</v>
      </c>
      <c r="AD7" s="3">
        <v>0</v>
      </c>
      <c r="AE7" s="3">
        <v>12000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4">
        <f>SUM(AD7:AO7)</f>
        <v>12000</v>
      </c>
      <c r="AQ7" s="5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4">
        <f>SUM(AQ7:BB7)</f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4">
        <f>SUM(BD7:BO7)</f>
        <v>0</v>
      </c>
    </row>
    <row r="8" spans="1:68" s="9" customFormat="1" x14ac:dyDescent="0.25">
      <c r="A8" s="43" t="s">
        <v>20</v>
      </c>
      <c r="B8" s="44"/>
      <c r="C8" s="45" t="s">
        <v>31</v>
      </c>
      <c r="D8" s="46">
        <f t="shared" ref="D8:AI8" si="0">SUM(D7:D7)</f>
        <v>0</v>
      </c>
      <c r="E8" s="46">
        <f t="shared" si="0"/>
        <v>0</v>
      </c>
      <c r="F8" s="46">
        <f t="shared" si="0"/>
        <v>0</v>
      </c>
      <c r="G8" s="46">
        <f t="shared" si="0"/>
        <v>0</v>
      </c>
      <c r="H8" s="46">
        <f t="shared" si="0"/>
        <v>0</v>
      </c>
      <c r="I8" s="46">
        <f t="shared" si="0"/>
        <v>0</v>
      </c>
      <c r="J8" s="46">
        <f t="shared" si="0"/>
        <v>0</v>
      </c>
      <c r="K8" s="46">
        <f t="shared" si="0"/>
        <v>0</v>
      </c>
      <c r="L8" s="46">
        <f t="shared" si="0"/>
        <v>0</v>
      </c>
      <c r="M8" s="46">
        <f t="shared" si="0"/>
        <v>0</v>
      </c>
      <c r="N8" s="46">
        <f t="shared" si="0"/>
        <v>0</v>
      </c>
      <c r="O8" s="46">
        <f t="shared" si="0"/>
        <v>0</v>
      </c>
      <c r="P8" s="47">
        <f t="shared" si="0"/>
        <v>0</v>
      </c>
      <c r="Q8" s="46">
        <f t="shared" si="0"/>
        <v>0</v>
      </c>
      <c r="R8" s="46">
        <f t="shared" si="0"/>
        <v>0</v>
      </c>
      <c r="S8" s="46">
        <f t="shared" si="0"/>
        <v>0</v>
      </c>
      <c r="T8" s="46">
        <f t="shared" si="0"/>
        <v>0</v>
      </c>
      <c r="U8" s="46">
        <f t="shared" si="0"/>
        <v>0</v>
      </c>
      <c r="V8" s="46">
        <f t="shared" si="0"/>
        <v>0</v>
      </c>
      <c r="W8" s="46">
        <f t="shared" si="0"/>
        <v>0</v>
      </c>
      <c r="X8" s="46">
        <f t="shared" si="0"/>
        <v>0</v>
      </c>
      <c r="Y8" s="46">
        <f t="shared" si="0"/>
        <v>0</v>
      </c>
      <c r="Z8" s="46">
        <f t="shared" si="0"/>
        <v>0</v>
      </c>
      <c r="AA8" s="46">
        <f t="shared" si="0"/>
        <v>0</v>
      </c>
      <c r="AB8" s="46">
        <f t="shared" si="0"/>
        <v>0</v>
      </c>
      <c r="AC8" s="47">
        <f t="shared" si="0"/>
        <v>0</v>
      </c>
      <c r="AD8" s="46">
        <f t="shared" si="0"/>
        <v>0</v>
      </c>
      <c r="AE8" s="46">
        <f t="shared" si="0"/>
        <v>12000</v>
      </c>
      <c r="AF8" s="46">
        <f t="shared" si="0"/>
        <v>0</v>
      </c>
      <c r="AG8" s="46">
        <f t="shared" si="0"/>
        <v>0</v>
      </c>
      <c r="AH8" s="46">
        <f t="shared" si="0"/>
        <v>0</v>
      </c>
      <c r="AI8" s="46">
        <f t="shared" si="0"/>
        <v>0</v>
      </c>
      <c r="AJ8" s="46">
        <f t="shared" ref="AJ8:BO8" si="1">SUM(AJ7:AJ7)</f>
        <v>0</v>
      </c>
      <c r="AK8" s="46">
        <f t="shared" si="1"/>
        <v>0</v>
      </c>
      <c r="AL8" s="46">
        <f t="shared" si="1"/>
        <v>0</v>
      </c>
      <c r="AM8" s="46">
        <f t="shared" si="1"/>
        <v>0</v>
      </c>
      <c r="AN8" s="46">
        <f t="shared" si="1"/>
        <v>0</v>
      </c>
      <c r="AO8" s="46">
        <f t="shared" si="1"/>
        <v>0</v>
      </c>
      <c r="AP8" s="47">
        <f t="shared" si="1"/>
        <v>12000</v>
      </c>
      <c r="AQ8" s="46">
        <f t="shared" si="1"/>
        <v>0</v>
      </c>
      <c r="AR8" s="46">
        <f t="shared" si="1"/>
        <v>0</v>
      </c>
      <c r="AS8" s="46">
        <f t="shared" si="1"/>
        <v>0</v>
      </c>
      <c r="AT8" s="46">
        <f t="shared" si="1"/>
        <v>0</v>
      </c>
      <c r="AU8" s="46">
        <f t="shared" si="1"/>
        <v>0</v>
      </c>
      <c r="AV8" s="46">
        <f t="shared" si="1"/>
        <v>0</v>
      </c>
      <c r="AW8" s="46">
        <f t="shared" si="1"/>
        <v>0</v>
      </c>
      <c r="AX8" s="46">
        <f t="shared" si="1"/>
        <v>0</v>
      </c>
      <c r="AY8" s="46">
        <f t="shared" si="1"/>
        <v>0</v>
      </c>
      <c r="AZ8" s="46">
        <f t="shared" si="1"/>
        <v>0</v>
      </c>
      <c r="BA8" s="46">
        <f t="shared" si="1"/>
        <v>0</v>
      </c>
      <c r="BB8" s="46">
        <f t="shared" si="1"/>
        <v>0</v>
      </c>
      <c r="BC8" s="47">
        <f t="shared" si="1"/>
        <v>0</v>
      </c>
      <c r="BD8" s="46">
        <f t="shared" si="1"/>
        <v>0</v>
      </c>
      <c r="BE8" s="46">
        <f t="shared" si="1"/>
        <v>0</v>
      </c>
      <c r="BF8" s="46">
        <f t="shared" si="1"/>
        <v>0</v>
      </c>
      <c r="BG8" s="46">
        <f t="shared" si="1"/>
        <v>0</v>
      </c>
      <c r="BH8" s="46">
        <f t="shared" si="1"/>
        <v>0</v>
      </c>
      <c r="BI8" s="46">
        <f t="shared" si="1"/>
        <v>0</v>
      </c>
      <c r="BJ8" s="46">
        <f t="shared" si="1"/>
        <v>0</v>
      </c>
      <c r="BK8" s="46">
        <f t="shared" si="1"/>
        <v>0</v>
      </c>
      <c r="BL8" s="46">
        <f t="shared" si="1"/>
        <v>0</v>
      </c>
      <c r="BM8" s="46">
        <f t="shared" si="1"/>
        <v>0</v>
      </c>
      <c r="BN8" s="46">
        <f t="shared" si="1"/>
        <v>0</v>
      </c>
      <c r="BO8" s="46">
        <f t="shared" si="1"/>
        <v>0</v>
      </c>
      <c r="BP8" s="47">
        <f t="shared" ref="BP8:CU8" si="2">SUM(BP7:BP7)</f>
        <v>0</v>
      </c>
    </row>
    <row r="10" spans="1:68" s="8" customFormat="1" x14ac:dyDescent="0.25">
      <c r="A10" s="38" t="s">
        <v>32</v>
      </c>
      <c r="B10" s="39"/>
      <c r="C10" s="38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1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1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1"/>
      <c r="AQ10" s="42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1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1"/>
    </row>
    <row r="11" spans="1:68" x14ac:dyDescent="0.25">
      <c r="A11" t="s">
        <v>33</v>
      </c>
      <c r="B11" s="2" t="s">
        <v>32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4">
        <f>SUM(D11:O11)</f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4">
        <f>SUM(Q11:AB11)</f>
        <v>0</v>
      </c>
      <c r="AD11" s="3">
        <v>0</v>
      </c>
      <c r="AE11" s="3">
        <v>0</v>
      </c>
      <c r="AF11" s="3">
        <v>0</v>
      </c>
      <c r="AG11" s="3">
        <v>0</v>
      </c>
      <c r="AH11" s="3">
        <v>3600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4">
        <f>SUM(AD11:AO11)</f>
        <v>3600</v>
      </c>
      <c r="AQ11" s="5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4">
        <f>SUM(AQ11:BB11)</f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4">
        <f>SUM(BD11:BO11)</f>
        <v>0</v>
      </c>
    </row>
    <row r="12" spans="1:68" s="10" customFormat="1" x14ac:dyDescent="0.25">
      <c r="A12" s="48" t="s">
        <v>20</v>
      </c>
      <c r="B12" s="49"/>
      <c r="C12" s="50" t="s">
        <v>34</v>
      </c>
      <c r="D12" s="51">
        <f t="shared" ref="D12:AI12" si="3">SUM(D11:D11)*-1</f>
        <v>0</v>
      </c>
      <c r="E12" s="51">
        <f t="shared" si="3"/>
        <v>0</v>
      </c>
      <c r="F12" s="51">
        <f t="shared" si="3"/>
        <v>0</v>
      </c>
      <c r="G12" s="51">
        <f t="shared" si="3"/>
        <v>0</v>
      </c>
      <c r="H12" s="51">
        <f t="shared" si="3"/>
        <v>0</v>
      </c>
      <c r="I12" s="51">
        <f t="shared" si="3"/>
        <v>0</v>
      </c>
      <c r="J12" s="51">
        <f t="shared" si="3"/>
        <v>0</v>
      </c>
      <c r="K12" s="51">
        <f t="shared" si="3"/>
        <v>0</v>
      </c>
      <c r="L12" s="51">
        <f t="shared" si="3"/>
        <v>0</v>
      </c>
      <c r="M12" s="51">
        <f t="shared" si="3"/>
        <v>0</v>
      </c>
      <c r="N12" s="51">
        <f t="shared" si="3"/>
        <v>0</v>
      </c>
      <c r="O12" s="51">
        <f t="shared" si="3"/>
        <v>0</v>
      </c>
      <c r="P12" s="52">
        <f t="shared" si="3"/>
        <v>0</v>
      </c>
      <c r="Q12" s="51">
        <f t="shared" si="3"/>
        <v>0</v>
      </c>
      <c r="R12" s="51">
        <f t="shared" si="3"/>
        <v>0</v>
      </c>
      <c r="S12" s="51">
        <f t="shared" si="3"/>
        <v>0</v>
      </c>
      <c r="T12" s="51">
        <f t="shared" si="3"/>
        <v>0</v>
      </c>
      <c r="U12" s="51">
        <f t="shared" si="3"/>
        <v>0</v>
      </c>
      <c r="V12" s="51">
        <f t="shared" si="3"/>
        <v>0</v>
      </c>
      <c r="W12" s="51">
        <f t="shared" si="3"/>
        <v>0</v>
      </c>
      <c r="X12" s="51">
        <f t="shared" si="3"/>
        <v>0</v>
      </c>
      <c r="Y12" s="51">
        <f t="shared" si="3"/>
        <v>0</v>
      </c>
      <c r="Z12" s="51">
        <f t="shared" si="3"/>
        <v>0</v>
      </c>
      <c r="AA12" s="51">
        <f t="shared" si="3"/>
        <v>0</v>
      </c>
      <c r="AB12" s="51">
        <f t="shared" si="3"/>
        <v>0</v>
      </c>
      <c r="AC12" s="52">
        <f t="shared" si="3"/>
        <v>0</v>
      </c>
      <c r="AD12" s="51">
        <f t="shared" si="3"/>
        <v>0</v>
      </c>
      <c r="AE12" s="51">
        <f t="shared" si="3"/>
        <v>0</v>
      </c>
      <c r="AF12" s="51">
        <f t="shared" si="3"/>
        <v>0</v>
      </c>
      <c r="AG12" s="51">
        <f t="shared" si="3"/>
        <v>0</v>
      </c>
      <c r="AH12" s="51">
        <f t="shared" si="3"/>
        <v>-3600</v>
      </c>
      <c r="AI12" s="51">
        <f t="shared" si="3"/>
        <v>0</v>
      </c>
      <c r="AJ12" s="51">
        <f t="shared" ref="AJ12:BO12" si="4">SUM(AJ11:AJ11)*-1</f>
        <v>0</v>
      </c>
      <c r="AK12" s="51">
        <f t="shared" si="4"/>
        <v>0</v>
      </c>
      <c r="AL12" s="51">
        <f t="shared" si="4"/>
        <v>0</v>
      </c>
      <c r="AM12" s="51">
        <f t="shared" si="4"/>
        <v>0</v>
      </c>
      <c r="AN12" s="51">
        <f t="shared" si="4"/>
        <v>0</v>
      </c>
      <c r="AO12" s="51">
        <f t="shared" si="4"/>
        <v>0</v>
      </c>
      <c r="AP12" s="52">
        <f t="shared" si="4"/>
        <v>-3600</v>
      </c>
      <c r="AQ12" s="51">
        <f t="shared" si="4"/>
        <v>0</v>
      </c>
      <c r="AR12" s="51">
        <f t="shared" si="4"/>
        <v>0</v>
      </c>
      <c r="AS12" s="51">
        <f t="shared" si="4"/>
        <v>0</v>
      </c>
      <c r="AT12" s="51">
        <f t="shared" si="4"/>
        <v>0</v>
      </c>
      <c r="AU12" s="51">
        <f t="shared" si="4"/>
        <v>0</v>
      </c>
      <c r="AV12" s="51">
        <f t="shared" si="4"/>
        <v>0</v>
      </c>
      <c r="AW12" s="51">
        <f t="shared" si="4"/>
        <v>0</v>
      </c>
      <c r="AX12" s="51">
        <f t="shared" si="4"/>
        <v>0</v>
      </c>
      <c r="AY12" s="51">
        <f t="shared" si="4"/>
        <v>0</v>
      </c>
      <c r="AZ12" s="51">
        <f t="shared" si="4"/>
        <v>0</v>
      </c>
      <c r="BA12" s="51">
        <f t="shared" si="4"/>
        <v>0</v>
      </c>
      <c r="BB12" s="51">
        <f t="shared" si="4"/>
        <v>0</v>
      </c>
      <c r="BC12" s="52">
        <f t="shared" si="4"/>
        <v>0</v>
      </c>
      <c r="BD12" s="51">
        <f t="shared" si="4"/>
        <v>0</v>
      </c>
      <c r="BE12" s="51">
        <f t="shared" si="4"/>
        <v>0</v>
      </c>
      <c r="BF12" s="51">
        <f t="shared" si="4"/>
        <v>0</v>
      </c>
      <c r="BG12" s="51">
        <f t="shared" si="4"/>
        <v>0</v>
      </c>
      <c r="BH12" s="51">
        <f t="shared" si="4"/>
        <v>0</v>
      </c>
      <c r="BI12" s="51">
        <f t="shared" si="4"/>
        <v>0</v>
      </c>
      <c r="BJ12" s="51">
        <f t="shared" si="4"/>
        <v>0</v>
      </c>
      <c r="BK12" s="51">
        <f t="shared" si="4"/>
        <v>0</v>
      </c>
      <c r="BL12" s="51">
        <f t="shared" si="4"/>
        <v>0</v>
      </c>
      <c r="BM12" s="51">
        <f t="shared" si="4"/>
        <v>0</v>
      </c>
      <c r="BN12" s="51">
        <f t="shared" si="4"/>
        <v>0</v>
      </c>
      <c r="BO12" s="51">
        <f t="shared" si="4"/>
        <v>0</v>
      </c>
      <c r="BP12" s="52">
        <f t="shared" ref="BP12:CU12" si="5">SUM(BP11:BP11)*-1</f>
        <v>0</v>
      </c>
    </row>
    <row r="14" spans="1:68" s="8" customFormat="1" x14ac:dyDescent="0.25">
      <c r="A14" s="38" t="s">
        <v>35</v>
      </c>
      <c r="B14" s="39"/>
      <c r="C14" s="38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1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1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1"/>
      <c r="AQ14" s="42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1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1"/>
    </row>
    <row r="15" spans="1:68" x14ac:dyDescent="0.25">
      <c r="A15" t="s">
        <v>36</v>
      </c>
      <c r="B15" s="2" t="s">
        <v>35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">
        <f>SUM(D15:O15)</f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4">
        <f>SUM(Q15:AB15)</f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6000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4">
        <f>SUM(AD15:AO15)</f>
        <v>6000</v>
      </c>
      <c r="AQ15" s="5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4">
        <f>SUM(AQ15:BB15)</f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4">
        <f>SUM(BD15:BO15)</f>
        <v>0</v>
      </c>
    </row>
    <row r="16" spans="1:68" s="10" customFormat="1" x14ac:dyDescent="0.25">
      <c r="A16" s="48" t="s">
        <v>20</v>
      </c>
      <c r="B16" s="49"/>
      <c r="C16" s="50" t="s">
        <v>37</v>
      </c>
      <c r="D16" s="51">
        <f t="shared" ref="D16:AI16" si="6">SUM(D15:D15)*-1</f>
        <v>0</v>
      </c>
      <c r="E16" s="51">
        <f t="shared" si="6"/>
        <v>0</v>
      </c>
      <c r="F16" s="51">
        <f t="shared" si="6"/>
        <v>0</v>
      </c>
      <c r="G16" s="51">
        <f t="shared" si="6"/>
        <v>0</v>
      </c>
      <c r="H16" s="51">
        <f t="shared" si="6"/>
        <v>0</v>
      </c>
      <c r="I16" s="51">
        <f t="shared" si="6"/>
        <v>0</v>
      </c>
      <c r="J16" s="51">
        <f t="shared" si="6"/>
        <v>0</v>
      </c>
      <c r="K16" s="51">
        <f t="shared" si="6"/>
        <v>0</v>
      </c>
      <c r="L16" s="51">
        <f t="shared" si="6"/>
        <v>0</v>
      </c>
      <c r="M16" s="51">
        <f t="shared" si="6"/>
        <v>0</v>
      </c>
      <c r="N16" s="51">
        <f t="shared" si="6"/>
        <v>0</v>
      </c>
      <c r="O16" s="51">
        <f t="shared" si="6"/>
        <v>0</v>
      </c>
      <c r="P16" s="52">
        <f t="shared" si="6"/>
        <v>0</v>
      </c>
      <c r="Q16" s="51">
        <f t="shared" si="6"/>
        <v>0</v>
      </c>
      <c r="R16" s="51">
        <f t="shared" si="6"/>
        <v>0</v>
      </c>
      <c r="S16" s="51">
        <f t="shared" si="6"/>
        <v>0</v>
      </c>
      <c r="T16" s="51">
        <f t="shared" si="6"/>
        <v>0</v>
      </c>
      <c r="U16" s="51">
        <f t="shared" si="6"/>
        <v>0</v>
      </c>
      <c r="V16" s="51">
        <f t="shared" si="6"/>
        <v>0</v>
      </c>
      <c r="W16" s="51">
        <f t="shared" si="6"/>
        <v>0</v>
      </c>
      <c r="X16" s="51">
        <f t="shared" si="6"/>
        <v>0</v>
      </c>
      <c r="Y16" s="51">
        <f t="shared" si="6"/>
        <v>0</v>
      </c>
      <c r="Z16" s="51">
        <f t="shared" si="6"/>
        <v>0</v>
      </c>
      <c r="AA16" s="51">
        <f t="shared" si="6"/>
        <v>0</v>
      </c>
      <c r="AB16" s="51">
        <f t="shared" si="6"/>
        <v>0</v>
      </c>
      <c r="AC16" s="52">
        <f t="shared" si="6"/>
        <v>0</v>
      </c>
      <c r="AD16" s="51">
        <f t="shared" si="6"/>
        <v>0</v>
      </c>
      <c r="AE16" s="51">
        <f t="shared" si="6"/>
        <v>0</v>
      </c>
      <c r="AF16" s="51">
        <f t="shared" si="6"/>
        <v>0</v>
      </c>
      <c r="AG16" s="51">
        <f t="shared" si="6"/>
        <v>0</v>
      </c>
      <c r="AH16" s="51">
        <f t="shared" si="6"/>
        <v>0</v>
      </c>
      <c r="AI16" s="51">
        <f t="shared" si="6"/>
        <v>0</v>
      </c>
      <c r="AJ16" s="51">
        <f t="shared" ref="AJ16:BO16" si="7">SUM(AJ15:AJ15)*-1</f>
        <v>-6000</v>
      </c>
      <c r="AK16" s="51">
        <f t="shared" si="7"/>
        <v>0</v>
      </c>
      <c r="AL16" s="51">
        <f t="shared" si="7"/>
        <v>0</v>
      </c>
      <c r="AM16" s="51">
        <f t="shared" si="7"/>
        <v>0</v>
      </c>
      <c r="AN16" s="51">
        <f t="shared" si="7"/>
        <v>0</v>
      </c>
      <c r="AO16" s="51">
        <f t="shared" si="7"/>
        <v>0</v>
      </c>
      <c r="AP16" s="52">
        <f t="shared" si="7"/>
        <v>-6000</v>
      </c>
      <c r="AQ16" s="51">
        <f t="shared" si="7"/>
        <v>0</v>
      </c>
      <c r="AR16" s="51">
        <f t="shared" si="7"/>
        <v>0</v>
      </c>
      <c r="AS16" s="51">
        <f t="shared" si="7"/>
        <v>0</v>
      </c>
      <c r="AT16" s="51">
        <f t="shared" si="7"/>
        <v>0</v>
      </c>
      <c r="AU16" s="51">
        <f t="shared" si="7"/>
        <v>0</v>
      </c>
      <c r="AV16" s="51">
        <f t="shared" si="7"/>
        <v>0</v>
      </c>
      <c r="AW16" s="51">
        <f t="shared" si="7"/>
        <v>0</v>
      </c>
      <c r="AX16" s="51">
        <f t="shared" si="7"/>
        <v>0</v>
      </c>
      <c r="AY16" s="51">
        <f t="shared" si="7"/>
        <v>0</v>
      </c>
      <c r="AZ16" s="51">
        <f t="shared" si="7"/>
        <v>0</v>
      </c>
      <c r="BA16" s="51">
        <f t="shared" si="7"/>
        <v>0</v>
      </c>
      <c r="BB16" s="51">
        <f t="shared" si="7"/>
        <v>0</v>
      </c>
      <c r="BC16" s="52">
        <f t="shared" si="7"/>
        <v>0</v>
      </c>
      <c r="BD16" s="51">
        <f t="shared" si="7"/>
        <v>0</v>
      </c>
      <c r="BE16" s="51">
        <f t="shared" si="7"/>
        <v>0</v>
      </c>
      <c r="BF16" s="51">
        <f t="shared" si="7"/>
        <v>0</v>
      </c>
      <c r="BG16" s="51">
        <f t="shared" si="7"/>
        <v>0</v>
      </c>
      <c r="BH16" s="51">
        <f t="shared" si="7"/>
        <v>0</v>
      </c>
      <c r="BI16" s="51">
        <f t="shared" si="7"/>
        <v>0</v>
      </c>
      <c r="BJ16" s="51">
        <f t="shared" si="7"/>
        <v>0</v>
      </c>
      <c r="BK16" s="51">
        <f t="shared" si="7"/>
        <v>0</v>
      </c>
      <c r="BL16" s="51">
        <f t="shared" si="7"/>
        <v>0</v>
      </c>
      <c r="BM16" s="51">
        <f t="shared" si="7"/>
        <v>0</v>
      </c>
      <c r="BN16" s="51">
        <f t="shared" si="7"/>
        <v>0</v>
      </c>
      <c r="BO16" s="51">
        <f t="shared" si="7"/>
        <v>0</v>
      </c>
      <c r="BP16" s="52">
        <f t="shared" ref="BP16:CU16" si="8">SUM(BP15:BP15)*-1</f>
        <v>0</v>
      </c>
    </row>
    <row r="18" spans="1:68" s="8" customFormat="1" x14ac:dyDescent="0.25">
      <c r="A18" s="38" t="s">
        <v>38</v>
      </c>
      <c r="B18" s="39"/>
      <c r="C18" s="38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1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1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1"/>
      <c r="AQ18" s="42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1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1"/>
    </row>
    <row r="19" spans="1:68" x14ac:dyDescent="0.25">
      <c r="A19" t="s">
        <v>39</v>
      </c>
      <c r="B19" s="2" t="s">
        <v>38</v>
      </c>
      <c r="D19" s="3">
        <v>0</v>
      </c>
      <c r="E19" s="3">
        <v>8992.9500000000007</v>
      </c>
      <c r="F19" s="3">
        <v>19608.330000000002</v>
      </c>
      <c r="G19" s="3">
        <v>16746.39</v>
      </c>
      <c r="H19" s="3">
        <v>5874.42</v>
      </c>
      <c r="I19" s="3">
        <v>23362.05</v>
      </c>
      <c r="J19" s="3">
        <v>9693.1200000000008</v>
      </c>
      <c r="K19" s="3">
        <v>25175.4</v>
      </c>
      <c r="L19" s="3">
        <v>13632.63</v>
      </c>
      <c r="M19" s="3">
        <v>31791.06</v>
      </c>
      <c r="N19" s="3">
        <v>26673.84</v>
      </c>
      <c r="O19" s="3">
        <v>31413.42</v>
      </c>
      <c r="P19" s="4">
        <f>SUM(D19:O19)</f>
        <v>212963.61</v>
      </c>
      <c r="Q19" s="3">
        <v>11843.64</v>
      </c>
      <c r="R19" s="3">
        <v>41841.54</v>
      </c>
      <c r="S19" s="3">
        <v>16614.240000000002</v>
      </c>
      <c r="T19" s="3">
        <v>35353.199999999997</v>
      </c>
      <c r="U19" s="3">
        <v>26700.48</v>
      </c>
      <c r="V19" s="3">
        <v>28303.41</v>
      </c>
      <c r="W19" s="3">
        <v>23415.57</v>
      </c>
      <c r="X19" s="3">
        <v>24358.89</v>
      </c>
      <c r="Y19" s="3">
        <v>10332.66</v>
      </c>
      <c r="Z19" s="3">
        <v>42557.85</v>
      </c>
      <c r="AA19" s="3">
        <v>10303.200000000001</v>
      </c>
      <c r="AB19" s="3">
        <v>30697.11</v>
      </c>
      <c r="AC19" s="4">
        <f>SUM(Q19:AB19)</f>
        <v>302321.79000000004</v>
      </c>
      <c r="AD19" s="3">
        <v>10588.635</v>
      </c>
      <c r="AE19" s="3">
        <v>21943.62</v>
      </c>
      <c r="AF19" s="3">
        <v>18487.650000000001</v>
      </c>
      <c r="AG19" s="3">
        <v>39447.839999999997</v>
      </c>
      <c r="AH19" s="3">
        <v>7074.39</v>
      </c>
      <c r="AI19" s="3">
        <v>37768.47</v>
      </c>
      <c r="AJ19" s="3">
        <v>13107.09</v>
      </c>
      <c r="AK19" s="3">
        <v>21795.87</v>
      </c>
      <c r="AL19" s="3">
        <v>13077.63</v>
      </c>
      <c r="AM19" s="3">
        <v>26905.08</v>
      </c>
      <c r="AN19" s="3">
        <v>27601.5</v>
      </c>
      <c r="AO19" s="3">
        <v>25735.65</v>
      </c>
      <c r="AP19" s="4">
        <f>SUM(AD19:AO19)</f>
        <v>263533.42499999999</v>
      </c>
      <c r="AQ19" s="5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4">
        <f>SUM(AQ19:BB19)</f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4">
        <f>SUM(BD19:BO19)</f>
        <v>0</v>
      </c>
    </row>
    <row r="20" spans="1:68" x14ac:dyDescent="0.25">
      <c r="A20" t="s">
        <v>40</v>
      </c>
      <c r="B20" s="2" t="s">
        <v>41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4">
        <f>SUM(D20:O20)</f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4">
        <f>SUM(Q20:AB20)</f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4">
        <f>SUM(AD20:AO20)</f>
        <v>0</v>
      </c>
      <c r="AQ20" s="5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4">
        <f>SUM(AQ20:BB20)</f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4">
        <f>SUM(BD20:BO20)</f>
        <v>0</v>
      </c>
    </row>
    <row r="21" spans="1:68" x14ac:dyDescent="0.25">
      <c r="A21" t="s">
        <v>42</v>
      </c>
      <c r="B21" s="2" t="s">
        <v>43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">
        <f>SUM(D21:O21)</f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4">
        <f>SUM(Q21:AB21)</f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4">
        <f>SUM(AD21:AO21)</f>
        <v>0</v>
      </c>
      <c r="AQ21" s="5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4">
        <f>SUM(AQ21:BB21)</f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4">
        <f>SUM(BD21:BO21)</f>
        <v>0</v>
      </c>
    </row>
    <row r="22" spans="1:68" s="9" customFormat="1" x14ac:dyDescent="0.25">
      <c r="A22" s="43" t="s">
        <v>20</v>
      </c>
      <c r="B22" s="44"/>
      <c r="C22" s="45" t="s">
        <v>44</v>
      </c>
      <c r="D22" s="46">
        <f t="shared" ref="D22:AI22" si="9">SUM(D19:D21)</f>
        <v>0</v>
      </c>
      <c r="E22" s="46">
        <f t="shared" si="9"/>
        <v>8992.9500000000007</v>
      </c>
      <c r="F22" s="46">
        <f t="shared" si="9"/>
        <v>19608.330000000002</v>
      </c>
      <c r="G22" s="46">
        <f t="shared" si="9"/>
        <v>16746.39</v>
      </c>
      <c r="H22" s="46">
        <f t="shared" si="9"/>
        <v>5874.42</v>
      </c>
      <c r="I22" s="46">
        <f t="shared" si="9"/>
        <v>23362.05</v>
      </c>
      <c r="J22" s="46">
        <f t="shared" si="9"/>
        <v>9693.1200000000008</v>
      </c>
      <c r="K22" s="46">
        <f t="shared" si="9"/>
        <v>25175.4</v>
      </c>
      <c r="L22" s="46">
        <f t="shared" si="9"/>
        <v>13632.63</v>
      </c>
      <c r="M22" s="46">
        <f t="shared" si="9"/>
        <v>31791.06</v>
      </c>
      <c r="N22" s="46">
        <f t="shared" si="9"/>
        <v>26673.84</v>
      </c>
      <c r="O22" s="46">
        <f t="shared" si="9"/>
        <v>31413.42</v>
      </c>
      <c r="P22" s="47">
        <f t="shared" si="9"/>
        <v>212963.61</v>
      </c>
      <c r="Q22" s="46">
        <f t="shared" si="9"/>
        <v>11843.64</v>
      </c>
      <c r="R22" s="46">
        <f t="shared" si="9"/>
        <v>41841.54</v>
      </c>
      <c r="S22" s="46">
        <f t="shared" si="9"/>
        <v>16614.240000000002</v>
      </c>
      <c r="T22" s="46">
        <f t="shared" si="9"/>
        <v>35353.199999999997</v>
      </c>
      <c r="U22" s="46">
        <f t="shared" si="9"/>
        <v>26700.48</v>
      </c>
      <c r="V22" s="46">
        <f t="shared" si="9"/>
        <v>28303.41</v>
      </c>
      <c r="W22" s="46">
        <f t="shared" si="9"/>
        <v>23415.57</v>
      </c>
      <c r="X22" s="46">
        <f t="shared" si="9"/>
        <v>24358.89</v>
      </c>
      <c r="Y22" s="46">
        <f t="shared" si="9"/>
        <v>10332.66</v>
      </c>
      <c r="Z22" s="46">
        <f t="shared" si="9"/>
        <v>42557.85</v>
      </c>
      <c r="AA22" s="46">
        <f t="shared" si="9"/>
        <v>10303.200000000001</v>
      </c>
      <c r="AB22" s="46">
        <f t="shared" si="9"/>
        <v>30697.11</v>
      </c>
      <c r="AC22" s="47">
        <f t="shared" si="9"/>
        <v>302321.79000000004</v>
      </c>
      <c r="AD22" s="46">
        <f t="shared" si="9"/>
        <v>10588.635</v>
      </c>
      <c r="AE22" s="46">
        <f t="shared" si="9"/>
        <v>21943.62</v>
      </c>
      <c r="AF22" s="46">
        <f t="shared" si="9"/>
        <v>18487.650000000001</v>
      </c>
      <c r="AG22" s="46">
        <f t="shared" si="9"/>
        <v>39447.839999999997</v>
      </c>
      <c r="AH22" s="46">
        <f t="shared" si="9"/>
        <v>7074.39</v>
      </c>
      <c r="AI22" s="46">
        <f t="shared" si="9"/>
        <v>37768.47</v>
      </c>
      <c r="AJ22" s="46">
        <f t="shared" ref="AJ22:BO22" si="10">SUM(AJ19:AJ21)</f>
        <v>13107.09</v>
      </c>
      <c r="AK22" s="46">
        <f t="shared" si="10"/>
        <v>21795.87</v>
      </c>
      <c r="AL22" s="46">
        <f t="shared" si="10"/>
        <v>13077.63</v>
      </c>
      <c r="AM22" s="46">
        <f t="shared" si="10"/>
        <v>26905.08</v>
      </c>
      <c r="AN22" s="46">
        <f t="shared" si="10"/>
        <v>27601.5</v>
      </c>
      <c r="AO22" s="46">
        <f t="shared" si="10"/>
        <v>25735.65</v>
      </c>
      <c r="AP22" s="47">
        <f t="shared" si="10"/>
        <v>263533.42499999999</v>
      </c>
      <c r="AQ22" s="46">
        <f t="shared" si="10"/>
        <v>0</v>
      </c>
      <c r="AR22" s="46">
        <f t="shared" si="10"/>
        <v>0</v>
      </c>
      <c r="AS22" s="46">
        <f t="shared" si="10"/>
        <v>0</v>
      </c>
      <c r="AT22" s="46">
        <f t="shared" si="10"/>
        <v>0</v>
      </c>
      <c r="AU22" s="46">
        <f t="shared" si="10"/>
        <v>0</v>
      </c>
      <c r="AV22" s="46">
        <f t="shared" si="10"/>
        <v>0</v>
      </c>
      <c r="AW22" s="46">
        <f t="shared" si="10"/>
        <v>0</v>
      </c>
      <c r="AX22" s="46">
        <f t="shared" si="10"/>
        <v>0</v>
      </c>
      <c r="AY22" s="46">
        <f t="shared" si="10"/>
        <v>0</v>
      </c>
      <c r="AZ22" s="46">
        <f t="shared" si="10"/>
        <v>0</v>
      </c>
      <c r="BA22" s="46">
        <f t="shared" si="10"/>
        <v>0</v>
      </c>
      <c r="BB22" s="46">
        <f t="shared" si="10"/>
        <v>0</v>
      </c>
      <c r="BC22" s="47">
        <f t="shared" si="10"/>
        <v>0</v>
      </c>
      <c r="BD22" s="46">
        <f t="shared" si="10"/>
        <v>0</v>
      </c>
      <c r="BE22" s="46">
        <f t="shared" si="10"/>
        <v>0</v>
      </c>
      <c r="BF22" s="46">
        <f t="shared" si="10"/>
        <v>0</v>
      </c>
      <c r="BG22" s="46">
        <f t="shared" si="10"/>
        <v>0</v>
      </c>
      <c r="BH22" s="46">
        <f t="shared" si="10"/>
        <v>0</v>
      </c>
      <c r="BI22" s="46">
        <f t="shared" si="10"/>
        <v>0</v>
      </c>
      <c r="BJ22" s="46">
        <f t="shared" si="10"/>
        <v>0</v>
      </c>
      <c r="BK22" s="46">
        <f t="shared" si="10"/>
        <v>0</v>
      </c>
      <c r="BL22" s="46">
        <f t="shared" si="10"/>
        <v>0</v>
      </c>
      <c r="BM22" s="46">
        <f t="shared" si="10"/>
        <v>0</v>
      </c>
      <c r="BN22" s="46">
        <f t="shared" si="10"/>
        <v>0</v>
      </c>
      <c r="BO22" s="46">
        <f t="shared" si="10"/>
        <v>0</v>
      </c>
      <c r="BP22" s="47">
        <f t="shared" ref="BP22:CU22" si="11">SUM(BP19:BP21)</f>
        <v>0</v>
      </c>
    </row>
    <row r="24" spans="1:68" s="8" customFormat="1" x14ac:dyDescent="0.25">
      <c r="A24" s="38" t="s">
        <v>45</v>
      </c>
      <c r="B24" s="39"/>
      <c r="C24" s="38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1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1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1"/>
      <c r="AQ24" s="42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1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1"/>
    </row>
    <row r="25" spans="1:68" x14ac:dyDescent="0.25">
      <c r="A25" t="s">
        <v>46</v>
      </c>
      <c r="B25" s="2" t="s">
        <v>47</v>
      </c>
      <c r="D25" s="3">
        <v>5001</v>
      </c>
      <c r="E25" s="3">
        <v>122.5</v>
      </c>
      <c r="F25" s="3">
        <v>111.67</v>
      </c>
      <c r="G25" s="3">
        <v>39.17</v>
      </c>
      <c r="H25" s="3">
        <v>28.33</v>
      </c>
      <c r="I25" s="3">
        <v>79.17</v>
      </c>
      <c r="J25" s="3">
        <v>40</v>
      </c>
      <c r="K25" s="3">
        <v>112.5</v>
      </c>
      <c r="L25" s="3">
        <v>61.67</v>
      </c>
      <c r="M25" s="3">
        <v>72.5</v>
      </c>
      <c r="N25" s="3">
        <v>79.17</v>
      </c>
      <c r="O25" s="3">
        <v>104.17</v>
      </c>
      <c r="P25" s="4">
        <f>SUM(D25:O25)</f>
        <v>5851.85</v>
      </c>
      <c r="Q25" s="3">
        <v>92.5</v>
      </c>
      <c r="R25" s="3">
        <v>30.83</v>
      </c>
      <c r="S25" s="3">
        <v>123.33</v>
      </c>
      <c r="T25" s="3">
        <v>60.83</v>
      </c>
      <c r="U25" s="3">
        <v>50</v>
      </c>
      <c r="V25" s="3">
        <v>65.83</v>
      </c>
      <c r="W25" s="3">
        <v>107.5</v>
      </c>
      <c r="X25" s="3">
        <v>95.83</v>
      </c>
      <c r="Y25" s="3">
        <v>82.5</v>
      </c>
      <c r="Z25" s="3">
        <v>57.5</v>
      </c>
      <c r="AA25" s="3">
        <v>69.17</v>
      </c>
      <c r="AB25" s="3">
        <v>33.33</v>
      </c>
      <c r="AC25" s="4">
        <f>SUM(Q25:AB25)</f>
        <v>869.15</v>
      </c>
      <c r="AD25" s="3">
        <v>38.33</v>
      </c>
      <c r="AE25" s="3">
        <v>100.83</v>
      </c>
      <c r="AF25" s="3">
        <v>118.33</v>
      </c>
      <c r="AG25" s="3">
        <v>95.83</v>
      </c>
      <c r="AH25" s="3">
        <v>54.17</v>
      </c>
      <c r="AI25" s="3">
        <v>72.5</v>
      </c>
      <c r="AJ25" s="3">
        <v>31.67</v>
      </c>
      <c r="AK25" s="3">
        <v>110.83</v>
      </c>
      <c r="AL25" s="3">
        <v>95.83</v>
      </c>
      <c r="AM25" s="3">
        <v>78.33</v>
      </c>
      <c r="AN25" s="3">
        <v>76.67</v>
      </c>
      <c r="AO25" s="3">
        <v>61.67</v>
      </c>
      <c r="AP25" s="4">
        <f>SUM(AD25:AO25)</f>
        <v>934.99</v>
      </c>
      <c r="AQ25" s="5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4">
        <f>SUM(AQ25:BB25)</f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4">
        <f>SUM(BD25:BO25)</f>
        <v>0</v>
      </c>
    </row>
    <row r="26" spans="1:68" s="9" customFormat="1" x14ac:dyDescent="0.25">
      <c r="A26" s="43" t="s">
        <v>20</v>
      </c>
      <c r="B26" s="44"/>
      <c r="C26" s="45" t="s">
        <v>48</v>
      </c>
      <c r="D26" s="46">
        <f t="shared" ref="D26:AI26" si="12">SUM(D25:D25)</f>
        <v>5001</v>
      </c>
      <c r="E26" s="46">
        <f t="shared" si="12"/>
        <v>122.5</v>
      </c>
      <c r="F26" s="46">
        <f t="shared" si="12"/>
        <v>111.67</v>
      </c>
      <c r="G26" s="46">
        <f t="shared" si="12"/>
        <v>39.17</v>
      </c>
      <c r="H26" s="46">
        <f t="shared" si="12"/>
        <v>28.33</v>
      </c>
      <c r="I26" s="46">
        <f t="shared" si="12"/>
        <v>79.17</v>
      </c>
      <c r="J26" s="46">
        <f t="shared" si="12"/>
        <v>40</v>
      </c>
      <c r="K26" s="46">
        <f t="shared" si="12"/>
        <v>112.5</v>
      </c>
      <c r="L26" s="46">
        <f t="shared" si="12"/>
        <v>61.67</v>
      </c>
      <c r="M26" s="46">
        <f t="shared" si="12"/>
        <v>72.5</v>
      </c>
      <c r="N26" s="46">
        <f t="shared" si="12"/>
        <v>79.17</v>
      </c>
      <c r="O26" s="46">
        <f t="shared" si="12"/>
        <v>104.17</v>
      </c>
      <c r="P26" s="47">
        <f t="shared" si="12"/>
        <v>5851.85</v>
      </c>
      <c r="Q26" s="46">
        <f t="shared" si="12"/>
        <v>92.5</v>
      </c>
      <c r="R26" s="46">
        <f t="shared" si="12"/>
        <v>30.83</v>
      </c>
      <c r="S26" s="46">
        <f t="shared" si="12"/>
        <v>123.33</v>
      </c>
      <c r="T26" s="46">
        <f t="shared" si="12"/>
        <v>60.83</v>
      </c>
      <c r="U26" s="46">
        <f t="shared" si="12"/>
        <v>50</v>
      </c>
      <c r="V26" s="46">
        <f t="shared" si="12"/>
        <v>65.83</v>
      </c>
      <c r="W26" s="46">
        <f t="shared" si="12"/>
        <v>107.5</v>
      </c>
      <c r="X26" s="46">
        <f t="shared" si="12"/>
        <v>95.83</v>
      </c>
      <c r="Y26" s="46">
        <f t="shared" si="12"/>
        <v>82.5</v>
      </c>
      <c r="Z26" s="46">
        <f t="shared" si="12"/>
        <v>57.5</v>
      </c>
      <c r="AA26" s="46">
        <f t="shared" si="12"/>
        <v>69.17</v>
      </c>
      <c r="AB26" s="46">
        <f t="shared" si="12"/>
        <v>33.33</v>
      </c>
      <c r="AC26" s="47">
        <f t="shared" si="12"/>
        <v>869.15</v>
      </c>
      <c r="AD26" s="46">
        <f t="shared" si="12"/>
        <v>38.33</v>
      </c>
      <c r="AE26" s="46">
        <f t="shared" si="12"/>
        <v>100.83</v>
      </c>
      <c r="AF26" s="46">
        <f t="shared" si="12"/>
        <v>118.33</v>
      </c>
      <c r="AG26" s="46">
        <f t="shared" si="12"/>
        <v>95.83</v>
      </c>
      <c r="AH26" s="46">
        <f t="shared" si="12"/>
        <v>54.17</v>
      </c>
      <c r="AI26" s="46">
        <f t="shared" si="12"/>
        <v>72.5</v>
      </c>
      <c r="AJ26" s="46">
        <f t="shared" ref="AJ26:BO26" si="13">SUM(AJ25:AJ25)</f>
        <v>31.67</v>
      </c>
      <c r="AK26" s="46">
        <f t="shared" si="13"/>
        <v>110.83</v>
      </c>
      <c r="AL26" s="46">
        <f t="shared" si="13"/>
        <v>95.83</v>
      </c>
      <c r="AM26" s="46">
        <f t="shared" si="13"/>
        <v>78.33</v>
      </c>
      <c r="AN26" s="46">
        <f t="shared" si="13"/>
        <v>76.67</v>
      </c>
      <c r="AO26" s="46">
        <f t="shared" si="13"/>
        <v>61.67</v>
      </c>
      <c r="AP26" s="47">
        <f t="shared" si="13"/>
        <v>934.99</v>
      </c>
      <c r="AQ26" s="46">
        <f t="shared" si="13"/>
        <v>0</v>
      </c>
      <c r="AR26" s="46">
        <f t="shared" si="13"/>
        <v>0</v>
      </c>
      <c r="AS26" s="46">
        <f t="shared" si="13"/>
        <v>0</v>
      </c>
      <c r="AT26" s="46">
        <f t="shared" si="13"/>
        <v>0</v>
      </c>
      <c r="AU26" s="46">
        <f t="shared" si="13"/>
        <v>0</v>
      </c>
      <c r="AV26" s="46">
        <f t="shared" si="13"/>
        <v>0</v>
      </c>
      <c r="AW26" s="46">
        <f t="shared" si="13"/>
        <v>0</v>
      </c>
      <c r="AX26" s="46">
        <f t="shared" si="13"/>
        <v>0</v>
      </c>
      <c r="AY26" s="46">
        <f t="shared" si="13"/>
        <v>0</v>
      </c>
      <c r="AZ26" s="46">
        <f t="shared" si="13"/>
        <v>0</v>
      </c>
      <c r="BA26" s="46">
        <f t="shared" si="13"/>
        <v>0</v>
      </c>
      <c r="BB26" s="46">
        <f t="shared" si="13"/>
        <v>0</v>
      </c>
      <c r="BC26" s="47">
        <f t="shared" si="13"/>
        <v>0</v>
      </c>
      <c r="BD26" s="46">
        <f t="shared" si="13"/>
        <v>0</v>
      </c>
      <c r="BE26" s="46">
        <f t="shared" si="13"/>
        <v>0</v>
      </c>
      <c r="BF26" s="46">
        <f t="shared" si="13"/>
        <v>0</v>
      </c>
      <c r="BG26" s="46">
        <f t="shared" si="13"/>
        <v>0</v>
      </c>
      <c r="BH26" s="46">
        <f t="shared" si="13"/>
        <v>0</v>
      </c>
      <c r="BI26" s="46">
        <f t="shared" si="13"/>
        <v>0</v>
      </c>
      <c r="BJ26" s="46">
        <f t="shared" si="13"/>
        <v>0</v>
      </c>
      <c r="BK26" s="46">
        <f t="shared" si="13"/>
        <v>0</v>
      </c>
      <c r="BL26" s="46">
        <f t="shared" si="13"/>
        <v>0</v>
      </c>
      <c r="BM26" s="46">
        <f t="shared" si="13"/>
        <v>0</v>
      </c>
      <c r="BN26" s="46">
        <f t="shared" si="13"/>
        <v>0</v>
      </c>
      <c r="BO26" s="46">
        <f t="shared" si="13"/>
        <v>0</v>
      </c>
      <c r="BP26" s="47">
        <f t="shared" ref="BP26:CU26" si="14">SUM(BP25:BP25)</f>
        <v>0</v>
      </c>
    </row>
    <row r="28" spans="1:68" s="8" customFormat="1" x14ac:dyDescent="0.25">
      <c r="A28" s="38" t="s">
        <v>49</v>
      </c>
      <c r="B28" s="39"/>
      <c r="C28" s="38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1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1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1"/>
      <c r="AQ28" s="42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1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1"/>
    </row>
    <row r="29" spans="1:68" x14ac:dyDescent="0.25">
      <c r="A29" t="s">
        <v>50</v>
      </c>
      <c r="B29" s="2" t="s">
        <v>49</v>
      </c>
      <c r="D29" s="3">
        <v>0</v>
      </c>
      <c r="E29" s="3">
        <v>4941.2196000000004</v>
      </c>
      <c r="F29" s="3">
        <v>3078.0001200000002</v>
      </c>
      <c r="G29" s="3">
        <v>3424.8131600000002</v>
      </c>
      <c r="H29" s="3">
        <v>1058.51368</v>
      </c>
      <c r="I29" s="3">
        <v>5309.4542000000001</v>
      </c>
      <c r="J29" s="3">
        <v>1814.8212799999999</v>
      </c>
      <c r="K29" s="3">
        <v>5988.4116000000004</v>
      </c>
      <c r="L29" s="3">
        <v>1248.9721199999999</v>
      </c>
      <c r="M29" s="3">
        <v>6764.7426400000004</v>
      </c>
      <c r="N29" s="3">
        <v>7389.2189600000002</v>
      </c>
      <c r="O29" s="3">
        <v>2389.4604800000002</v>
      </c>
      <c r="P29" s="4">
        <f t="shared" ref="P29:P34" si="15">SUM(D29:O29)</f>
        <v>43407.627840000001</v>
      </c>
      <c r="Q29" s="3">
        <v>2186.11832</v>
      </c>
      <c r="R29" s="3">
        <v>8722.9057599999996</v>
      </c>
      <c r="S29" s="3">
        <v>1925.93896</v>
      </c>
      <c r="T29" s="3">
        <v>7470.5508</v>
      </c>
      <c r="U29" s="3">
        <v>6483.9383200000002</v>
      </c>
      <c r="V29" s="3">
        <v>1930.87004</v>
      </c>
      <c r="W29" s="3">
        <v>3569.6218800000001</v>
      </c>
      <c r="X29" s="3">
        <v>6480.0271599999996</v>
      </c>
      <c r="Y29" s="3">
        <v>934.08744000000002</v>
      </c>
      <c r="Z29" s="3">
        <v>7660.7893999999997</v>
      </c>
      <c r="AA29" s="3">
        <v>1790.8607999999999</v>
      </c>
      <c r="AB29" s="3">
        <v>6135.5168400000002</v>
      </c>
      <c r="AC29" s="4">
        <f t="shared" ref="AC29:AC34" si="16">SUM(Q29:AB29)</f>
        <v>55291.225720000002</v>
      </c>
      <c r="AD29" s="3">
        <v>8175.58788</v>
      </c>
      <c r="AE29" s="3">
        <v>466.33927999999997</v>
      </c>
      <c r="AF29" s="3">
        <v>2973.5293999999999</v>
      </c>
      <c r="AG29" s="3">
        <v>8106.1789600000002</v>
      </c>
      <c r="AH29" s="3">
        <v>5137.4703600000003</v>
      </c>
      <c r="AI29" s="3">
        <v>2498.6486799999998</v>
      </c>
      <c r="AJ29" s="3">
        <v>2208.6407599999998</v>
      </c>
      <c r="AK29" s="3">
        <v>4859.4622799999997</v>
      </c>
      <c r="AL29" s="3">
        <v>2204.5541199999998</v>
      </c>
      <c r="AM29" s="3">
        <v>6395.3635199999999</v>
      </c>
      <c r="AN29" s="3">
        <v>3332.0012000000002</v>
      </c>
      <c r="AO29" s="3">
        <v>14317.0926</v>
      </c>
      <c r="AP29" s="4">
        <f t="shared" ref="AP29:AP34" si="17">SUM(AD29:AO29)</f>
        <v>60674.86903999999</v>
      </c>
      <c r="AQ29" s="5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4">
        <f t="shared" ref="BC29:BC34" si="18">SUM(AQ29:BB29)</f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4">
        <f t="shared" ref="BP29:BP34" si="19">SUM(BD29:BO29)</f>
        <v>0</v>
      </c>
    </row>
    <row r="30" spans="1:68" x14ac:dyDescent="0.25">
      <c r="A30" t="s">
        <v>51</v>
      </c>
      <c r="B30" s="2" t="s">
        <v>52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4">
        <f t="shared" si="15"/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4">
        <f t="shared" si="16"/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4">
        <f t="shared" si="17"/>
        <v>0</v>
      </c>
      <c r="AQ30" s="5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4">
        <f t="shared" si="18"/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4">
        <f t="shared" si="19"/>
        <v>0</v>
      </c>
    </row>
    <row r="31" spans="1:68" x14ac:dyDescent="0.25">
      <c r="A31" t="s">
        <v>53</v>
      </c>
      <c r="B31" s="2" t="s">
        <v>54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4">
        <f t="shared" si="15"/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4">
        <f t="shared" si="16"/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4">
        <f t="shared" si="17"/>
        <v>0</v>
      </c>
      <c r="AQ31" s="5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4">
        <f t="shared" si="18"/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4">
        <f t="shared" si="19"/>
        <v>0</v>
      </c>
    </row>
    <row r="32" spans="1:68" x14ac:dyDescent="0.25">
      <c r="A32" t="s">
        <v>55</v>
      </c>
      <c r="B32" s="2" t="s">
        <v>56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4">
        <f t="shared" si="15"/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4">
        <f t="shared" si="16"/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4">
        <f t="shared" si="17"/>
        <v>0</v>
      </c>
      <c r="AQ32" s="5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4">
        <f t="shared" si="18"/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4">
        <f t="shared" si="19"/>
        <v>0</v>
      </c>
    </row>
    <row r="33" spans="1:68" x14ac:dyDescent="0.25">
      <c r="A33" t="s">
        <v>57</v>
      </c>
      <c r="B33" s="2" t="s">
        <v>58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4166.67</v>
      </c>
      <c r="P33" s="4">
        <f t="shared" si="15"/>
        <v>4166.67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4">
        <f t="shared" si="16"/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4">
        <f t="shared" si="17"/>
        <v>0</v>
      </c>
      <c r="AQ33" s="5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4">
        <f t="shared" si="18"/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4">
        <f t="shared" si="19"/>
        <v>0</v>
      </c>
    </row>
    <row r="34" spans="1:68" x14ac:dyDescent="0.25">
      <c r="A34" t="s">
        <v>59</v>
      </c>
      <c r="B34" s="2" t="s">
        <v>60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4">
        <f t="shared" si="15"/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4">
        <f t="shared" si="16"/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4">
        <f t="shared" si="17"/>
        <v>0</v>
      </c>
      <c r="AQ34" s="5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4">
        <f t="shared" si="18"/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4">
        <f t="shared" si="19"/>
        <v>0</v>
      </c>
    </row>
    <row r="35" spans="1:68" s="10" customFormat="1" x14ac:dyDescent="0.25">
      <c r="A35" s="48" t="s">
        <v>20</v>
      </c>
      <c r="B35" s="49"/>
      <c r="C35" s="50" t="s">
        <v>61</v>
      </c>
      <c r="D35" s="51">
        <f t="shared" ref="D35:AI35" si="20">SUM(D29:D34)*-1</f>
        <v>0</v>
      </c>
      <c r="E35" s="51">
        <f t="shared" si="20"/>
        <v>-4941.2196000000004</v>
      </c>
      <c r="F35" s="51">
        <f t="shared" si="20"/>
        <v>-3078.0001200000002</v>
      </c>
      <c r="G35" s="51">
        <f t="shared" si="20"/>
        <v>-3424.8131600000002</v>
      </c>
      <c r="H35" s="51">
        <f t="shared" si="20"/>
        <v>-1058.51368</v>
      </c>
      <c r="I35" s="51">
        <f t="shared" si="20"/>
        <v>-5309.4542000000001</v>
      </c>
      <c r="J35" s="51">
        <f t="shared" si="20"/>
        <v>-1814.8212799999999</v>
      </c>
      <c r="K35" s="51">
        <f t="shared" si="20"/>
        <v>-5988.4116000000004</v>
      </c>
      <c r="L35" s="51">
        <f t="shared" si="20"/>
        <v>-1248.9721199999999</v>
      </c>
      <c r="M35" s="51">
        <f t="shared" si="20"/>
        <v>-6764.7426400000004</v>
      </c>
      <c r="N35" s="51">
        <f t="shared" si="20"/>
        <v>-7389.2189600000002</v>
      </c>
      <c r="O35" s="51">
        <f t="shared" si="20"/>
        <v>-6556.1304799999998</v>
      </c>
      <c r="P35" s="52">
        <f t="shared" si="20"/>
        <v>-47574.297839999999</v>
      </c>
      <c r="Q35" s="51">
        <f t="shared" si="20"/>
        <v>-2186.11832</v>
      </c>
      <c r="R35" s="51">
        <f t="shared" si="20"/>
        <v>-8722.9057599999996</v>
      </c>
      <c r="S35" s="51">
        <f t="shared" si="20"/>
        <v>-1925.93896</v>
      </c>
      <c r="T35" s="51">
        <f t="shared" si="20"/>
        <v>-7470.5508</v>
      </c>
      <c r="U35" s="51">
        <f t="shared" si="20"/>
        <v>-6483.9383200000002</v>
      </c>
      <c r="V35" s="51">
        <f t="shared" si="20"/>
        <v>-1930.87004</v>
      </c>
      <c r="W35" s="51">
        <f t="shared" si="20"/>
        <v>-3569.6218800000001</v>
      </c>
      <c r="X35" s="51">
        <f t="shared" si="20"/>
        <v>-6480.0271599999996</v>
      </c>
      <c r="Y35" s="51">
        <f t="shared" si="20"/>
        <v>-934.08744000000002</v>
      </c>
      <c r="Z35" s="51">
        <f t="shared" si="20"/>
        <v>-7660.7893999999997</v>
      </c>
      <c r="AA35" s="51">
        <f t="shared" si="20"/>
        <v>-1790.8607999999999</v>
      </c>
      <c r="AB35" s="51">
        <f t="shared" si="20"/>
        <v>-6135.5168400000002</v>
      </c>
      <c r="AC35" s="52">
        <f t="shared" si="20"/>
        <v>-55291.225720000002</v>
      </c>
      <c r="AD35" s="51">
        <f t="shared" si="20"/>
        <v>-8175.58788</v>
      </c>
      <c r="AE35" s="51">
        <f t="shared" si="20"/>
        <v>-466.33927999999997</v>
      </c>
      <c r="AF35" s="51">
        <f t="shared" si="20"/>
        <v>-2973.5293999999999</v>
      </c>
      <c r="AG35" s="51">
        <f t="shared" si="20"/>
        <v>-8106.1789600000002</v>
      </c>
      <c r="AH35" s="51">
        <f t="shared" si="20"/>
        <v>-5137.4703600000003</v>
      </c>
      <c r="AI35" s="51">
        <f t="shared" si="20"/>
        <v>-2498.6486799999998</v>
      </c>
      <c r="AJ35" s="51">
        <f t="shared" ref="AJ35:BO35" si="21">SUM(AJ29:AJ34)*-1</f>
        <v>-2208.6407599999998</v>
      </c>
      <c r="AK35" s="51">
        <f t="shared" si="21"/>
        <v>-4859.4622799999997</v>
      </c>
      <c r="AL35" s="51">
        <f t="shared" si="21"/>
        <v>-2204.5541199999998</v>
      </c>
      <c r="AM35" s="51">
        <f t="shared" si="21"/>
        <v>-6395.3635199999999</v>
      </c>
      <c r="AN35" s="51">
        <f t="shared" si="21"/>
        <v>-3332.0012000000002</v>
      </c>
      <c r="AO35" s="51">
        <f t="shared" si="21"/>
        <v>-14317.0926</v>
      </c>
      <c r="AP35" s="52">
        <f t="shared" si="21"/>
        <v>-60674.86903999999</v>
      </c>
      <c r="AQ35" s="51">
        <f t="shared" si="21"/>
        <v>0</v>
      </c>
      <c r="AR35" s="51">
        <f t="shared" si="21"/>
        <v>0</v>
      </c>
      <c r="AS35" s="51">
        <f t="shared" si="21"/>
        <v>0</v>
      </c>
      <c r="AT35" s="51">
        <f t="shared" si="21"/>
        <v>0</v>
      </c>
      <c r="AU35" s="51">
        <f t="shared" si="21"/>
        <v>0</v>
      </c>
      <c r="AV35" s="51">
        <f t="shared" si="21"/>
        <v>0</v>
      </c>
      <c r="AW35" s="51">
        <f t="shared" si="21"/>
        <v>0</v>
      </c>
      <c r="AX35" s="51">
        <f t="shared" si="21"/>
        <v>0</v>
      </c>
      <c r="AY35" s="51">
        <f t="shared" si="21"/>
        <v>0</v>
      </c>
      <c r="AZ35" s="51">
        <f t="shared" si="21"/>
        <v>0</v>
      </c>
      <c r="BA35" s="51">
        <f t="shared" si="21"/>
        <v>0</v>
      </c>
      <c r="BB35" s="51">
        <f t="shared" si="21"/>
        <v>0</v>
      </c>
      <c r="BC35" s="52">
        <f t="shared" si="21"/>
        <v>0</v>
      </c>
      <c r="BD35" s="51">
        <f t="shared" si="21"/>
        <v>0</v>
      </c>
      <c r="BE35" s="51">
        <f t="shared" si="21"/>
        <v>0</v>
      </c>
      <c r="BF35" s="51">
        <f t="shared" si="21"/>
        <v>0</v>
      </c>
      <c r="BG35" s="51">
        <f t="shared" si="21"/>
        <v>0</v>
      </c>
      <c r="BH35" s="51">
        <f t="shared" si="21"/>
        <v>0</v>
      </c>
      <c r="BI35" s="51">
        <f t="shared" si="21"/>
        <v>0</v>
      </c>
      <c r="BJ35" s="51">
        <f t="shared" si="21"/>
        <v>0</v>
      </c>
      <c r="BK35" s="51">
        <f t="shared" si="21"/>
        <v>0</v>
      </c>
      <c r="BL35" s="51">
        <f t="shared" si="21"/>
        <v>0</v>
      </c>
      <c r="BM35" s="51">
        <f t="shared" si="21"/>
        <v>0</v>
      </c>
      <c r="BN35" s="51">
        <f t="shared" si="21"/>
        <v>0</v>
      </c>
      <c r="BO35" s="51">
        <f t="shared" si="21"/>
        <v>0</v>
      </c>
      <c r="BP35" s="52">
        <f t="shared" ref="BP35:CU35" si="22">SUM(BP29:BP34)*-1</f>
        <v>0</v>
      </c>
    </row>
    <row r="37" spans="1:68" s="8" customFormat="1" x14ac:dyDescent="0.25">
      <c r="A37" s="38" t="s">
        <v>62</v>
      </c>
      <c r="B37" s="39"/>
      <c r="C37" s="38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1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1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1"/>
      <c r="AQ37" s="42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1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1"/>
    </row>
    <row r="38" spans="1:68" x14ac:dyDescent="0.25">
      <c r="A38" t="s">
        <v>63</v>
      </c>
      <c r="B38" s="2" t="s">
        <v>64</v>
      </c>
      <c r="D38" s="3">
        <v>0</v>
      </c>
      <c r="E38" s="3">
        <v>231.6</v>
      </c>
      <c r="F38" s="3">
        <v>228</v>
      </c>
      <c r="G38" s="3">
        <v>224.2</v>
      </c>
      <c r="H38" s="3">
        <v>223.8</v>
      </c>
      <c r="I38" s="3">
        <v>245.2</v>
      </c>
      <c r="J38" s="3">
        <v>241.4</v>
      </c>
      <c r="K38" s="3">
        <v>234.4</v>
      </c>
      <c r="L38" s="3">
        <v>255.8</v>
      </c>
      <c r="M38" s="3">
        <v>252.2</v>
      </c>
      <c r="N38" s="3">
        <v>241.8</v>
      </c>
      <c r="O38" s="3">
        <v>237.8</v>
      </c>
      <c r="P38" s="4">
        <f>SUM(D38:O38)</f>
        <v>2616.2000000000003</v>
      </c>
      <c r="Q38" s="3">
        <v>233</v>
      </c>
      <c r="R38" s="3">
        <v>247.6</v>
      </c>
      <c r="S38" s="3">
        <v>251.6</v>
      </c>
      <c r="T38" s="3">
        <v>236.6</v>
      </c>
      <c r="U38" s="3">
        <v>238.6</v>
      </c>
      <c r="V38" s="3">
        <v>227.2</v>
      </c>
      <c r="W38" s="3">
        <v>242.2</v>
      </c>
      <c r="X38" s="3">
        <v>247</v>
      </c>
      <c r="Y38" s="3">
        <v>239.4</v>
      </c>
      <c r="Z38" s="3">
        <v>235.4</v>
      </c>
      <c r="AA38" s="3">
        <v>230.6</v>
      </c>
      <c r="AB38" s="3">
        <v>220.2</v>
      </c>
      <c r="AC38" s="4">
        <f>SUM(Q38:AB38)</f>
        <v>2849.4</v>
      </c>
      <c r="AD38" s="3">
        <v>224.2</v>
      </c>
      <c r="AE38" s="3">
        <v>234.2</v>
      </c>
      <c r="AF38" s="3">
        <v>236.2</v>
      </c>
      <c r="AG38" s="3">
        <v>254.6</v>
      </c>
      <c r="AH38" s="3">
        <v>244.6</v>
      </c>
      <c r="AI38" s="3">
        <v>249.4</v>
      </c>
      <c r="AJ38" s="3">
        <v>257</v>
      </c>
      <c r="AK38" s="3">
        <v>253</v>
      </c>
      <c r="AL38" s="3">
        <v>248.2</v>
      </c>
      <c r="AM38" s="3">
        <v>237.8</v>
      </c>
      <c r="AN38" s="3">
        <v>241.8</v>
      </c>
      <c r="AO38" s="3">
        <v>251.8</v>
      </c>
      <c r="AP38" s="4">
        <f>SUM(AD38:AO38)</f>
        <v>2932.8000000000006</v>
      </c>
      <c r="AQ38" s="5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4">
        <f>SUM(AQ38:BB38)</f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4">
        <f>SUM(BD38:BO38)</f>
        <v>0</v>
      </c>
    </row>
    <row r="39" spans="1:68" x14ac:dyDescent="0.25">
      <c r="A39" t="s">
        <v>65</v>
      </c>
      <c r="B39" s="2" t="s">
        <v>66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4">
        <f>SUM(D39:O39)</f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4">
        <f>SUM(Q39:AB39)</f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4">
        <f>SUM(AD39:AO39)</f>
        <v>0</v>
      </c>
      <c r="AQ39" s="5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4">
        <f>SUM(AQ39:BB39)</f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4">
        <f>SUM(BD39:BO39)</f>
        <v>0</v>
      </c>
    </row>
    <row r="40" spans="1:68" x14ac:dyDescent="0.25">
      <c r="A40" t="s">
        <v>67</v>
      </c>
      <c r="B40" s="2" t="s">
        <v>68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4">
        <f>SUM(D40:O40)</f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4">
        <f>SUM(Q40:AB40)</f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4">
        <f>SUM(AD40:AO40)</f>
        <v>0</v>
      </c>
      <c r="AQ40" s="5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4">
        <f>SUM(AQ40:BB40)</f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4">
        <f>SUM(BD40:BO40)</f>
        <v>0</v>
      </c>
    </row>
    <row r="41" spans="1:68" x14ac:dyDescent="0.25">
      <c r="A41" t="s">
        <v>69</v>
      </c>
      <c r="B41" s="2" t="s">
        <v>62</v>
      </c>
      <c r="D41" s="3">
        <v>0</v>
      </c>
      <c r="E41" s="3">
        <v>2316</v>
      </c>
      <c r="F41" s="3">
        <v>2280</v>
      </c>
      <c r="G41" s="3">
        <v>2242</v>
      </c>
      <c r="H41" s="3">
        <v>2238</v>
      </c>
      <c r="I41" s="3">
        <v>2452</v>
      </c>
      <c r="J41" s="3">
        <v>2414</v>
      </c>
      <c r="K41" s="3">
        <v>2344</v>
      </c>
      <c r="L41" s="3">
        <v>2558</v>
      </c>
      <c r="M41" s="3">
        <v>2522</v>
      </c>
      <c r="N41" s="3">
        <v>2418</v>
      </c>
      <c r="O41" s="3">
        <v>2378</v>
      </c>
      <c r="P41" s="4">
        <f>SUM(D41:O41)</f>
        <v>26162</v>
      </c>
      <c r="Q41" s="3">
        <v>2330</v>
      </c>
      <c r="R41" s="3">
        <v>2476</v>
      </c>
      <c r="S41" s="3">
        <v>2516</v>
      </c>
      <c r="T41" s="3">
        <v>2366</v>
      </c>
      <c r="U41" s="3">
        <v>2386</v>
      </c>
      <c r="V41" s="3">
        <v>2272</v>
      </c>
      <c r="W41" s="3">
        <v>2422</v>
      </c>
      <c r="X41" s="3">
        <v>2470</v>
      </c>
      <c r="Y41" s="3">
        <v>2394</v>
      </c>
      <c r="Z41" s="3">
        <v>2354</v>
      </c>
      <c r="AA41" s="3">
        <v>2306</v>
      </c>
      <c r="AB41" s="3">
        <v>2202</v>
      </c>
      <c r="AC41" s="4">
        <f>SUM(Q41:AB41)</f>
        <v>28494</v>
      </c>
      <c r="AD41" s="3">
        <v>2242</v>
      </c>
      <c r="AE41" s="3">
        <v>2342</v>
      </c>
      <c r="AF41" s="3">
        <v>2362</v>
      </c>
      <c r="AG41" s="3">
        <v>2546</v>
      </c>
      <c r="AH41" s="3">
        <v>2446</v>
      </c>
      <c r="AI41" s="3">
        <v>2494</v>
      </c>
      <c r="AJ41" s="3">
        <v>2570</v>
      </c>
      <c r="AK41" s="3">
        <v>2530</v>
      </c>
      <c r="AL41" s="3">
        <v>2482</v>
      </c>
      <c r="AM41" s="3">
        <v>2378</v>
      </c>
      <c r="AN41" s="3">
        <v>2418</v>
      </c>
      <c r="AO41" s="3">
        <v>2518</v>
      </c>
      <c r="AP41" s="4">
        <f>SUM(AD41:AO41)</f>
        <v>29328</v>
      </c>
      <c r="AQ41" s="5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4">
        <f>SUM(AQ41:BB41)</f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4">
        <f>SUM(BD41:BO41)</f>
        <v>0</v>
      </c>
    </row>
    <row r="42" spans="1:68" s="10" customFormat="1" x14ac:dyDescent="0.25">
      <c r="A42" s="48" t="s">
        <v>20</v>
      </c>
      <c r="B42" s="49"/>
      <c r="C42" s="50" t="s">
        <v>70</v>
      </c>
      <c r="D42" s="51">
        <f t="shared" ref="D42:AI42" si="23">SUM(D38:D41)*-1</f>
        <v>0</v>
      </c>
      <c r="E42" s="51">
        <f t="shared" si="23"/>
        <v>-2547.6</v>
      </c>
      <c r="F42" s="51">
        <f t="shared" si="23"/>
        <v>-2508</v>
      </c>
      <c r="G42" s="51">
        <f t="shared" si="23"/>
        <v>-2466.1999999999998</v>
      </c>
      <c r="H42" s="51">
        <f t="shared" si="23"/>
        <v>-2461.8000000000002</v>
      </c>
      <c r="I42" s="51">
        <f t="shared" si="23"/>
        <v>-2697.2</v>
      </c>
      <c r="J42" s="51">
        <f t="shared" si="23"/>
        <v>-2655.4</v>
      </c>
      <c r="K42" s="51">
        <f t="shared" si="23"/>
        <v>-2578.4</v>
      </c>
      <c r="L42" s="51">
        <f t="shared" si="23"/>
        <v>-2813.8</v>
      </c>
      <c r="M42" s="51">
        <f t="shared" si="23"/>
        <v>-2774.2</v>
      </c>
      <c r="N42" s="51">
        <f t="shared" si="23"/>
        <v>-2659.8</v>
      </c>
      <c r="O42" s="51">
        <f t="shared" si="23"/>
        <v>-2615.8000000000002</v>
      </c>
      <c r="P42" s="52">
        <f t="shared" si="23"/>
        <v>-28778.2</v>
      </c>
      <c r="Q42" s="51">
        <f t="shared" si="23"/>
        <v>-2563</v>
      </c>
      <c r="R42" s="51">
        <f t="shared" si="23"/>
        <v>-2723.6</v>
      </c>
      <c r="S42" s="51">
        <f t="shared" si="23"/>
        <v>-2767.6</v>
      </c>
      <c r="T42" s="51">
        <f t="shared" si="23"/>
        <v>-2602.6</v>
      </c>
      <c r="U42" s="51">
        <f t="shared" si="23"/>
        <v>-2624.6</v>
      </c>
      <c r="V42" s="51">
        <f t="shared" si="23"/>
        <v>-2499.1999999999998</v>
      </c>
      <c r="W42" s="51">
        <f t="shared" si="23"/>
        <v>-2664.2</v>
      </c>
      <c r="X42" s="51">
        <f t="shared" si="23"/>
        <v>-2717</v>
      </c>
      <c r="Y42" s="51">
        <f t="shared" si="23"/>
        <v>-2633.4</v>
      </c>
      <c r="Z42" s="51">
        <f t="shared" si="23"/>
        <v>-2589.4</v>
      </c>
      <c r="AA42" s="51">
        <f t="shared" si="23"/>
        <v>-2536.6</v>
      </c>
      <c r="AB42" s="51">
        <f t="shared" si="23"/>
        <v>-2422.1999999999998</v>
      </c>
      <c r="AC42" s="52">
        <f t="shared" si="23"/>
        <v>-31343.4</v>
      </c>
      <c r="AD42" s="51">
        <f t="shared" si="23"/>
        <v>-2466.1999999999998</v>
      </c>
      <c r="AE42" s="51">
        <f t="shared" si="23"/>
        <v>-2576.1999999999998</v>
      </c>
      <c r="AF42" s="51">
        <f t="shared" si="23"/>
        <v>-2598.1999999999998</v>
      </c>
      <c r="AG42" s="51">
        <f t="shared" si="23"/>
        <v>-2800.6</v>
      </c>
      <c r="AH42" s="51">
        <f t="shared" si="23"/>
        <v>-2690.6</v>
      </c>
      <c r="AI42" s="51">
        <f t="shared" si="23"/>
        <v>-2743.4</v>
      </c>
      <c r="AJ42" s="51">
        <f t="shared" ref="AJ42:BO42" si="24">SUM(AJ38:AJ41)*-1</f>
        <v>-2827</v>
      </c>
      <c r="AK42" s="51">
        <f t="shared" si="24"/>
        <v>-2783</v>
      </c>
      <c r="AL42" s="51">
        <f t="shared" si="24"/>
        <v>-2730.2</v>
      </c>
      <c r="AM42" s="51">
        <f t="shared" si="24"/>
        <v>-2615.8000000000002</v>
      </c>
      <c r="AN42" s="51">
        <f t="shared" si="24"/>
        <v>-2659.8</v>
      </c>
      <c r="AO42" s="51">
        <f t="shared" si="24"/>
        <v>-2769.8</v>
      </c>
      <c r="AP42" s="52">
        <f t="shared" si="24"/>
        <v>-32260.799999999999</v>
      </c>
      <c r="AQ42" s="51">
        <f t="shared" si="24"/>
        <v>0</v>
      </c>
      <c r="AR42" s="51">
        <f t="shared" si="24"/>
        <v>0</v>
      </c>
      <c r="AS42" s="51">
        <f t="shared" si="24"/>
        <v>0</v>
      </c>
      <c r="AT42" s="51">
        <f t="shared" si="24"/>
        <v>0</v>
      </c>
      <c r="AU42" s="51">
        <f t="shared" si="24"/>
        <v>0</v>
      </c>
      <c r="AV42" s="51">
        <f t="shared" si="24"/>
        <v>0</v>
      </c>
      <c r="AW42" s="51">
        <f t="shared" si="24"/>
        <v>0</v>
      </c>
      <c r="AX42" s="51">
        <f t="shared" si="24"/>
        <v>0</v>
      </c>
      <c r="AY42" s="51">
        <f t="shared" si="24"/>
        <v>0</v>
      </c>
      <c r="AZ42" s="51">
        <f t="shared" si="24"/>
        <v>0</v>
      </c>
      <c r="BA42" s="51">
        <f t="shared" si="24"/>
        <v>0</v>
      </c>
      <c r="BB42" s="51">
        <f t="shared" si="24"/>
        <v>0</v>
      </c>
      <c r="BC42" s="52">
        <f t="shared" si="24"/>
        <v>0</v>
      </c>
      <c r="BD42" s="51">
        <f t="shared" si="24"/>
        <v>0</v>
      </c>
      <c r="BE42" s="51">
        <f t="shared" si="24"/>
        <v>0</v>
      </c>
      <c r="BF42" s="51">
        <f t="shared" si="24"/>
        <v>0</v>
      </c>
      <c r="BG42" s="51">
        <f t="shared" si="24"/>
        <v>0</v>
      </c>
      <c r="BH42" s="51">
        <f t="shared" si="24"/>
        <v>0</v>
      </c>
      <c r="BI42" s="51">
        <f t="shared" si="24"/>
        <v>0</v>
      </c>
      <c r="BJ42" s="51">
        <f t="shared" si="24"/>
        <v>0</v>
      </c>
      <c r="BK42" s="51">
        <f t="shared" si="24"/>
        <v>0</v>
      </c>
      <c r="BL42" s="51">
        <f t="shared" si="24"/>
        <v>0</v>
      </c>
      <c r="BM42" s="51">
        <f t="shared" si="24"/>
        <v>0</v>
      </c>
      <c r="BN42" s="51">
        <f t="shared" si="24"/>
        <v>0</v>
      </c>
      <c r="BO42" s="51">
        <f t="shared" si="24"/>
        <v>0</v>
      </c>
      <c r="BP42" s="52">
        <f t="shared" ref="BP42:CU42" si="25">SUM(BP38:BP41)*-1</f>
        <v>0</v>
      </c>
    </row>
    <row r="44" spans="1:68" s="8" customFormat="1" x14ac:dyDescent="0.25">
      <c r="A44" s="38" t="s">
        <v>71</v>
      </c>
      <c r="B44" s="39"/>
      <c r="C44" s="38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1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1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1"/>
      <c r="AQ44" s="42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1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1"/>
    </row>
    <row r="45" spans="1:68" x14ac:dyDescent="0.25">
      <c r="A45" t="s">
        <v>72</v>
      </c>
      <c r="B45" s="2" t="s">
        <v>71</v>
      </c>
      <c r="D45" s="3">
        <v>0</v>
      </c>
      <c r="E45" s="3">
        <v>137.5</v>
      </c>
      <c r="F45" s="3">
        <v>64.17</v>
      </c>
      <c r="G45" s="3">
        <v>703.34</v>
      </c>
      <c r="H45" s="3">
        <v>134.16999999999999</v>
      </c>
      <c r="I45" s="3">
        <v>60.83</v>
      </c>
      <c r="J45" s="3">
        <v>293.33</v>
      </c>
      <c r="K45" s="3">
        <v>142.5</v>
      </c>
      <c r="L45" s="3">
        <v>99.17</v>
      </c>
      <c r="M45" s="3">
        <v>630</v>
      </c>
      <c r="N45" s="3">
        <v>104.17</v>
      </c>
      <c r="O45" s="3">
        <v>132.5</v>
      </c>
      <c r="P45" s="4">
        <f t="shared" ref="P45:P52" si="26">SUM(D45:O45)</f>
        <v>2501.6800000000003</v>
      </c>
      <c r="Q45" s="3">
        <v>910.84</v>
      </c>
      <c r="R45" s="3">
        <v>55</v>
      </c>
      <c r="S45" s="3">
        <v>60</v>
      </c>
      <c r="T45" s="3">
        <v>790.84</v>
      </c>
      <c r="U45" s="3">
        <v>89.17</v>
      </c>
      <c r="V45" s="3">
        <v>130</v>
      </c>
      <c r="W45" s="3">
        <v>402.5</v>
      </c>
      <c r="X45" s="3">
        <v>160</v>
      </c>
      <c r="Y45" s="3">
        <v>99.17</v>
      </c>
      <c r="Z45" s="3">
        <v>665.83</v>
      </c>
      <c r="AA45" s="3">
        <v>59.17</v>
      </c>
      <c r="AB45" s="3">
        <v>155</v>
      </c>
      <c r="AC45" s="4">
        <f t="shared" ref="AC45:AC52" si="27">SUM(Q45:AB45)</f>
        <v>3577.5200000000004</v>
      </c>
      <c r="AD45" s="3">
        <v>785.83</v>
      </c>
      <c r="AE45" s="3">
        <v>131.66999999999999</v>
      </c>
      <c r="AF45" s="3">
        <v>120.83</v>
      </c>
      <c r="AG45" s="3">
        <v>549.16</v>
      </c>
      <c r="AH45" s="3">
        <v>61.67</v>
      </c>
      <c r="AI45" s="3">
        <v>50</v>
      </c>
      <c r="AJ45" s="3">
        <v>589.16</v>
      </c>
      <c r="AK45" s="3">
        <v>120</v>
      </c>
      <c r="AL45" s="3">
        <v>135</v>
      </c>
      <c r="AM45" s="3">
        <v>579.16999999999996</v>
      </c>
      <c r="AN45" s="3">
        <v>90.83</v>
      </c>
      <c r="AO45" s="3">
        <v>52.5</v>
      </c>
      <c r="AP45" s="4">
        <f t="shared" ref="AP45:AP52" si="28">SUM(AD45:AO45)</f>
        <v>3265.8199999999997</v>
      </c>
      <c r="AQ45" s="5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4">
        <f t="shared" ref="BC45:BC52" si="29">SUM(AQ45:BB45)</f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4">
        <f t="shared" ref="BP45:BP52" si="30">SUM(BD45:BO45)</f>
        <v>0</v>
      </c>
    </row>
    <row r="46" spans="1:68" x14ac:dyDescent="0.25">
      <c r="A46" t="s">
        <v>73</v>
      </c>
      <c r="B46" s="2" t="s">
        <v>74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4">
        <f t="shared" si="26"/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4">
        <f t="shared" si="27"/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4">
        <f t="shared" si="28"/>
        <v>0</v>
      </c>
      <c r="AQ46" s="5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4">
        <f t="shared" si="29"/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4">
        <f t="shared" si="30"/>
        <v>0</v>
      </c>
    </row>
    <row r="47" spans="1:68" x14ac:dyDescent="0.25">
      <c r="A47" t="s">
        <v>75</v>
      </c>
      <c r="B47" s="2" t="s">
        <v>76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4">
        <f t="shared" si="26"/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4">
        <f t="shared" si="27"/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4">
        <f t="shared" si="28"/>
        <v>0</v>
      </c>
      <c r="AQ47" s="5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4">
        <f t="shared" si="29"/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4">
        <f t="shared" si="30"/>
        <v>0</v>
      </c>
    </row>
    <row r="48" spans="1:68" x14ac:dyDescent="0.25">
      <c r="A48" t="s">
        <v>77</v>
      </c>
      <c r="B48" s="2" t="s">
        <v>78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4">
        <f t="shared" si="26"/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4">
        <f t="shared" si="27"/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4">
        <f t="shared" si="28"/>
        <v>0</v>
      </c>
      <c r="AQ48" s="5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4">
        <f t="shared" si="29"/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4">
        <f t="shared" si="30"/>
        <v>0</v>
      </c>
    </row>
    <row r="49" spans="1:68" x14ac:dyDescent="0.25">
      <c r="A49" t="s">
        <v>79</v>
      </c>
      <c r="B49" s="2" t="s">
        <v>80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4">
        <f t="shared" si="26"/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4">
        <f t="shared" si="27"/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4">
        <f t="shared" si="28"/>
        <v>0</v>
      </c>
      <c r="AQ49" s="5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4">
        <f t="shared" si="29"/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4">
        <f t="shared" si="30"/>
        <v>0</v>
      </c>
    </row>
    <row r="50" spans="1:68" x14ac:dyDescent="0.25">
      <c r="A50" t="s">
        <v>81</v>
      </c>
      <c r="B50" s="2" t="s">
        <v>82</v>
      </c>
      <c r="D50" s="3">
        <v>0</v>
      </c>
      <c r="E50" s="3">
        <v>0</v>
      </c>
      <c r="F50" s="3">
        <v>171</v>
      </c>
      <c r="G50" s="3">
        <v>0</v>
      </c>
      <c r="H50" s="3">
        <v>0</v>
      </c>
      <c r="I50" s="3">
        <v>0</v>
      </c>
      <c r="J50" s="3">
        <v>117</v>
      </c>
      <c r="K50" s="3">
        <v>0</v>
      </c>
      <c r="L50" s="3">
        <v>0</v>
      </c>
      <c r="M50" s="3">
        <v>0</v>
      </c>
      <c r="N50" s="3">
        <v>46</v>
      </c>
      <c r="O50" s="3">
        <v>0</v>
      </c>
      <c r="P50" s="4">
        <f t="shared" si="26"/>
        <v>334</v>
      </c>
      <c r="Q50" s="3">
        <v>0</v>
      </c>
      <c r="R50" s="3">
        <v>0</v>
      </c>
      <c r="S50" s="3">
        <v>102</v>
      </c>
      <c r="T50" s="3">
        <v>0</v>
      </c>
      <c r="U50" s="3">
        <v>0</v>
      </c>
      <c r="V50" s="3">
        <v>0</v>
      </c>
      <c r="W50" s="3">
        <v>198</v>
      </c>
      <c r="X50" s="3">
        <v>0</v>
      </c>
      <c r="Y50" s="3">
        <v>0</v>
      </c>
      <c r="Z50" s="3">
        <v>0</v>
      </c>
      <c r="AA50" s="3">
        <v>156</v>
      </c>
      <c r="AB50" s="3">
        <v>0</v>
      </c>
      <c r="AC50" s="4">
        <f t="shared" si="27"/>
        <v>456</v>
      </c>
      <c r="AD50" s="3">
        <v>0</v>
      </c>
      <c r="AE50" s="3">
        <v>0</v>
      </c>
      <c r="AF50" s="3">
        <v>51</v>
      </c>
      <c r="AG50" s="3">
        <v>0</v>
      </c>
      <c r="AH50" s="3">
        <v>0</v>
      </c>
      <c r="AI50" s="3">
        <v>0</v>
      </c>
      <c r="AJ50" s="3">
        <v>54</v>
      </c>
      <c r="AK50" s="3">
        <v>0</v>
      </c>
      <c r="AL50" s="3">
        <v>0</v>
      </c>
      <c r="AM50" s="3">
        <v>0</v>
      </c>
      <c r="AN50" s="3">
        <v>110</v>
      </c>
      <c r="AO50" s="3">
        <v>0</v>
      </c>
      <c r="AP50" s="4">
        <f t="shared" si="28"/>
        <v>215</v>
      </c>
      <c r="AQ50" s="5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4">
        <f t="shared" si="29"/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4">
        <f t="shared" si="30"/>
        <v>0</v>
      </c>
    </row>
    <row r="51" spans="1:68" x14ac:dyDescent="0.25">
      <c r="A51" t="s">
        <v>83</v>
      </c>
      <c r="B51" s="2" t="s">
        <v>84</v>
      </c>
      <c r="D51" s="3">
        <v>0</v>
      </c>
      <c r="E51" s="3">
        <v>185</v>
      </c>
      <c r="F51" s="3">
        <v>0</v>
      </c>
      <c r="G51" s="3">
        <v>0</v>
      </c>
      <c r="H51" s="3">
        <v>0</v>
      </c>
      <c r="I51" s="3">
        <v>132</v>
      </c>
      <c r="J51" s="3">
        <v>0</v>
      </c>
      <c r="K51" s="3">
        <v>0</v>
      </c>
      <c r="L51" s="3">
        <v>0</v>
      </c>
      <c r="M51" s="3">
        <v>127</v>
      </c>
      <c r="N51" s="3">
        <v>0</v>
      </c>
      <c r="O51" s="3">
        <v>0</v>
      </c>
      <c r="P51" s="4">
        <f t="shared" si="26"/>
        <v>444</v>
      </c>
      <c r="Q51" s="3">
        <v>0</v>
      </c>
      <c r="R51" s="3">
        <v>72</v>
      </c>
      <c r="S51" s="3">
        <v>0</v>
      </c>
      <c r="T51" s="3">
        <v>0</v>
      </c>
      <c r="U51" s="3">
        <v>0</v>
      </c>
      <c r="V51" s="3">
        <v>148</v>
      </c>
      <c r="W51" s="3">
        <v>0</v>
      </c>
      <c r="X51" s="3">
        <v>0</v>
      </c>
      <c r="Y51" s="3">
        <v>0</v>
      </c>
      <c r="Z51" s="3">
        <v>107</v>
      </c>
      <c r="AA51" s="3">
        <v>0</v>
      </c>
      <c r="AB51" s="3">
        <v>0</v>
      </c>
      <c r="AC51" s="4">
        <f t="shared" si="27"/>
        <v>327</v>
      </c>
      <c r="AD51" s="3">
        <v>0</v>
      </c>
      <c r="AE51" s="3">
        <v>143</v>
      </c>
      <c r="AF51" s="3">
        <v>0</v>
      </c>
      <c r="AG51" s="3">
        <v>0</v>
      </c>
      <c r="AH51" s="3">
        <v>0</v>
      </c>
      <c r="AI51" s="3">
        <v>58</v>
      </c>
      <c r="AJ51" s="3">
        <v>0</v>
      </c>
      <c r="AK51" s="3">
        <v>0</v>
      </c>
      <c r="AL51" s="3">
        <v>0</v>
      </c>
      <c r="AM51" s="3">
        <v>80</v>
      </c>
      <c r="AN51" s="3">
        <v>0</v>
      </c>
      <c r="AO51" s="3">
        <v>0</v>
      </c>
      <c r="AP51" s="4">
        <f t="shared" si="28"/>
        <v>281</v>
      </c>
      <c r="AQ51" s="5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4">
        <f t="shared" si="29"/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4">
        <f t="shared" si="30"/>
        <v>0</v>
      </c>
    </row>
    <row r="52" spans="1:68" x14ac:dyDescent="0.25">
      <c r="A52" t="s">
        <v>85</v>
      </c>
      <c r="B52" s="2" t="s">
        <v>86</v>
      </c>
      <c r="D52" s="3">
        <v>0</v>
      </c>
      <c r="E52" s="3">
        <v>0</v>
      </c>
      <c r="F52" s="3">
        <v>0</v>
      </c>
      <c r="G52" s="3">
        <v>0</v>
      </c>
      <c r="H52" s="3">
        <v>146</v>
      </c>
      <c r="I52" s="3">
        <v>0</v>
      </c>
      <c r="J52" s="3">
        <v>0</v>
      </c>
      <c r="K52" s="3">
        <v>0</v>
      </c>
      <c r="L52" s="3">
        <v>141</v>
      </c>
      <c r="M52" s="3">
        <v>0</v>
      </c>
      <c r="N52" s="3">
        <v>0</v>
      </c>
      <c r="O52" s="3">
        <v>0</v>
      </c>
      <c r="P52" s="4">
        <f t="shared" si="26"/>
        <v>287</v>
      </c>
      <c r="Q52" s="3">
        <v>65</v>
      </c>
      <c r="R52" s="3">
        <v>0</v>
      </c>
      <c r="S52" s="3">
        <v>0</v>
      </c>
      <c r="T52" s="3">
        <v>0</v>
      </c>
      <c r="U52" s="3">
        <v>135</v>
      </c>
      <c r="V52" s="3">
        <v>0</v>
      </c>
      <c r="W52" s="3">
        <v>0</v>
      </c>
      <c r="X52" s="3">
        <v>0</v>
      </c>
      <c r="Y52" s="3">
        <v>137</v>
      </c>
      <c r="Z52" s="3">
        <v>0</v>
      </c>
      <c r="AA52" s="3">
        <v>0</v>
      </c>
      <c r="AB52" s="3">
        <v>0</v>
      </c>
      <c r="AC52" s="4">
        <f t="shared" si="27"/>
        <v>337</v>
      </c>
      <c r="AD52" s="3">
        <v>193</v>
      </c>
      <c r="AE52" s="3">
        <v>0</v>
      </c>
      <c r="AF52" s="3">
        <v>0</v>
      </c>
      <c r="AG52" s="3">
        <v>0</v>
      </c>
      <c r="AH52" s="3">
        <v>107</v>
      </c>
      <c r="AI52" s="3">
        <v>0</v>
      </c>
      <c r="AJ52" s="3">
        <v>0</v>
      </c>
      <c r="AK52" s="3">
        <v>0</v>
      </c>
      <c r="AL52" s="3">
        <v>73</v>
      </c>
      <c r="AM52" s="3">
        <v>0</v>
      </c>
      <c r="AN52" s="3">
        <v>0</v>
      </c>
      <c r="AO52" s="3">
        <v>0</v>
      </c>
      <c r="AP52" s="4">
        <f t="shared" si="28"/>
        <v>373</v>
      </c>
      <c r="AQ52" s="5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4">
        <f t="shared" si="29"/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4">
        <f t="shared" si="30"/>
        <v>0</v>
      </c>
    </row>
    <row r="53" spans="1:68" s="10" customFormat="1" x14ac:dyDescent="0.25">
      <c r="A53" s="48" t="s">
        <v>20</v>
      </c>
      <c r="B53" s="49"/>
      <c r="C53" s="50" t="s">
        <v>87</v>
      </c>
      <c r="D53" s="51">
        <f t="shared" ref="D53:AI53" si="31">SUM(D45:D52)*-1</f>
        <v>0</v>
      </c>
      <c r="E53" s="51">
        <f t="shared" si="31"/>
        <v>-322.5</v>
      </c>
      <c r="F53" s="51">
        <f t="shared" si="31"/>
        <v>-235.17000000000002</v>
      </c>
      <c r="G53" s="51">
        <f t="shared" si="31"/>
        <v>-703.34</v>
      </c>
      <c r="H53" s="51">
        <f t="shared" si="31"/>
        <v>-280.16999999999996</v>
      </c>
      <c r="I53" s="51">
        <f t="shared" si="31"/>
        <v>-192.82999999999998</v>
      </c>
      <c r="J53" s="51">
        <f t="shared" si="31"/>
        <v>-410.33</v>
      </c>
      <c r="K53" s="51">
        <f t="shared" si="31"/>
        <v>-142.5</v>
      </c>
      <c r="L53" s="51">
        <f t="shared" si="31"/>
        <v>-240.17000000000002</v>
      </c>
      <c r="M53" s="51">
        <f t="shared" si="31"/>
        <v>-757</v>
      </c>
      <c r="N53" s="51">
        <f t="shared" si="31"/>
        <v>-150.17000000000002</v>
      </c>
      <c r="O53" s="51">
        <f t="shared" si="31"/>
        <v>-132.5</v>
      </c>
      <c r="P53" s="52">
        <f t="shared" si="31"/>
        <v>-3566.6800000000003</v>
      </c>
      <c r="Q53" s="51">
        <f t="shared" si="31"/>
        <v>-975.84</v>
      </c>
      <c r="R53" s="51">
        <f t="shared" si="31"/>
        <v>-127</v>
      </c>
      <c r="S53" s="51">
        <f t="shared" si="31"/>
        <v>-162</v>
      </c>
      <c r="T53" s="51">
        <f t="shared" si="31"/>
        <v>-790.84</v>
      </c>
      <c r="U53" s="51">
        <f t="shared" si="31"/>
        <v>-224.17000000000002</v>
      </c>
      <c r="V53" s="51">
        <f t="shared" si="31"/>
        <v>-278</v>
      </c>
      <c r="W53" s="51">
        <f t="shared" si="31"/>
        <v>-600.5</v>
      </c>
      <c r="X53" s="51">
        <f t="shared" si="31"/>
        <v>-160</v>
      </c>
      <c r="Y53" s="51">
        <f t="shared" si="31"/>
        <v>-236.17000000000002</v>
      </c>
      <c r="Z53" s="51">
        <f t="shared" si="31"/>
        <v>-772.83</v>
      </c>
      <c r="AA53" s="51">
        <f t="shared" si="31"/>
        <v>-215.17000000000002</v>
      </c>
      <c r="AB53" s="51">
        <f t="shared" si="31"/>
        <v>-155</v>
      </c>
      <c r="AC53" s="52">
        <f t="shared" si="31"/>
        <v>-4697.5200000000004</v>
      </c>
      <c r="AD53" s="51">
        <f t="shared" si="31"/>
        <v>-978.83</v>
      </c>
      <c r="AE53" s="51">
        <f t="shared" si="31"/>
        <v>-274.66999999999996</v>
      </c>
      <c r="AF53" s="51">
        <f t="shared" si="31"/>
        <v>-171.82999999999998</v>
      </c>
      <c r="AG53" s="51">
        <f t="shared" si="31"/>
        <v>-549.16</v>
      </c>
      <c r="AH53" s="51">
        <f t="shared" si="31"/>
        <v>-168.67000000000002</v>
      </c>
      <c r="AI53" s="51">
        <f t="shared" si="31"/>
        <v>-108</v>
      </c>
      <c r="AJ53" s="51">
        <f t="shared" ref="AJ53:BO53" si="32">SUM(AJ45:AJ52)*-1</f>
        <v>-643.16</v>
      </c>
      <c r="AK53" s="51">
        <f t="shared" si="32"/>
        <v>-120</v>
      </c>
      <c r="AL53" s="51">
        <f t="shared" si="32"/>
        <v>-208</v>
      </c>
      <c r="AM53" s="51">
        <f t="shared" si="32"/>
        <v>-659.17</v>
      </c>
      <c r="AN53" s="51">
        <f t="shared" si="32"/>
        <v>-200.82999999999998</v>
      </c>
      <c r="AO53" s="51">
        <f t="shared" si="32"/>
        <v>-52.5</v>
      </c>
      <c r="AP53" s="52">
        <f t="shared" si="32"/>
        <v>-4134.82</v>
      </c>
      <c r="AQ53" s="51">
        <f t="shared" si="32"/>
        <v>0</v>
      </c>
      <c r="AR53" s="51">
        <f t="shared" si="32"/>
        <v>0</v>
      </c>
      <c r="AS53" s="51">
        <f t="shared" si="32"/>
        <v>0</v>
      </c>
      <c r="AT53" s="51">
        <f t="shared" si="32"/>
        <v>0</v>
      </c>
      <c r="AU53" s="51">
        <f t="shared" si="32"/>
        <v>0</v>
      </c>
      <c r="AV53" s="51">
        <f t="shared" si="32"/>
        <v>0</v>
      </c>
      <c r="AW53" s="51">
        <f t="shared" si="32"/>
        <v>0</v>
      </c>
      <c r="AX53" s="51">
        <f t="shared" si="32"/>
        <v>0</v>
      </c>
      <c r="AY53" s="51">
        <f t="shared" si="32"/>
        <v>0</v>
      </c>
      <c r="AZ53" s="51">
        <f t="shared" si="32"/>
        <v>0</v>
      </c>
      <c r="BA53" s="51">
        <f t="shared" si="32"/>
        <v>0</v>
      </c>
      <c r="BB53" s="51">
        <f t="shared" si="32"/>
        <v>0</v>
      </c>
      <c r="BC53" s="52">
        <f t="shared" si="32"/>
        <v>0</v>
      </c>
      <c r="BD53" s="51">
        <f t="shared" si="32"/>
        <v>0</v>
      </c>
      <c r="BE53" s="51">
        <f t="shared" si="32"/>
        <v>0</v>
      </c>
      <c r="BF53" s="51">
        <f t="shared" si="32"/>
        <v>0</v>
      </c>
      <c r="BG53" s="51">
        <f t="shared" si="32"/>
        <v>0</v>
      </c>
      <c r="BH53" s="51">
        <f t="shared" si="32"/>
        <v>0</v>
      </c>
      <c r="BI53" s="51">
        <f t="shared" si="32"/>
        <v>0</v>
      </c>
      <c r="BJ53" s="51">
        <f t="shared" si="32"/>
        <v>0</v>
      </c>
      <c r="BK53" s="51">
        <f t="shared" si="32"/>
        <v>0</v>
      </c>
      <c r="BL53" s="51">
        <f t="shared" si="32"/>
        <v>0</v>
      </c>
      <c r="BM53" s="51">
        <f t="shared" si="32"/>
        <v>0</v>
      </c>
      <c r="BN53" s="51">
        <f t="shared" si="32"/>
        <v>0</v>
      </c>
      <c r="BO53" s="51">
        <f t="shared" si="32"/>
        <v>0</v>
      </c>
      <c r="BP53" s="52">
        <f t="shared" ref="BP53:CU53" si="33">SUM(BP45:BP52)*-1</f>
        <v>0</v>
      </c>
    </row>
    <row r="55" spans="1:68" s="8" customFormat="1" x14ac:dyDescent="0.25">
      <c r="A55" s="38" t="s">
        <v>88</v>
      </c>
      <c r="B55" s="39"/>
      <c r="C55" s="38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1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1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1"/>
      <c r="AQ55" s="42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1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1"/>
    </row>
    <row r="56" spans="1:68" x14ac:dyDescent="0.25">
      <c r="A56" t="s">
        <v>89</v>
      </c>
      <c r="B56" s="2" t="s">
        <v>90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4">
        <f>SUM(D56:O56)</f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4">
        <f>SUM(Q56:AB56)</f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4">
        <f>SUM(AD56:AO56)</f>
        <v>0</v>
      </c>
      <c r="AQ56" s="5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4">
        <f>SUM(AQ56:BB56)</f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4">
        <f>SUM(BD56:BO56)</f>
        <v>0</v>
      </c>
    </row>
    <row r="57" spans="1:68" x14ac:dyDescent="0.25">
      <c r="A57" t="s">
        <v>91</v>
      </c>
      <c r="B57" s="2" t="s">
        <v>92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-4000</v>
      </c>
      <c r="P57" s="4">
        <f>SUM(D57:O57)</f>
        <v>-4000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1000</v>
      </c>
      <c r="AC57" s="4">
        <f>SUM(Q57:AB57)</f>
        <v>1000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1000</v>
      </c>
      <c r="AP57" s="4">
        <f>SUM(AD57:AO57)</f>
        <v>1000</v>
      </c>
      <c r="AQ57" s="5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4">
        <f>SUM(AQ57:BB57)</f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4">
        <f>SUM(BD57:BO57)</f>
        <v>0</v>
      </c>
    </row>
    <row r="58" spans="1:68" x14ac:dyDescent="0.25">
      <c r="A58" t="s">
        <v>93</v>
      </c>
      <c r="B58" s="2" t="s">
        <v>94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4">
        <f>SUM(D58:O58)</f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4">
        <f>SUM(Q58:AB58)</f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-6000</v>
      </c>
      <c r="AK58" s="3">
        <v>0</v>
      </c>
      <c r="AL58" s="3">
        <v>0</v>
      </c>
      <c r="AM58" s="3">
        <v>0</v>
      </c>
      <c r="AN58" s="3">
        <v>0</v>
      </c>
      <c r="AO58" s="3">
        <v>1200</v>
      </c>
      <c r="AP58" s="4">
        <f>SUM(AD58:AO58)</f>
        <v>-4800</v>
      </c>
      <c r="AQ58" s="5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4">
        <f>SUM(AQ58:BB58)</f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4">
        <f>SUM(BD58:BO58)</f>
        <v>0</v>
      </c>
    </row>
    <row r="59" spans="1:68" s="10" customFormat="1" x14ac:dyDescent="0.25">
      <c r="A59" s="48" t="s">
        <v>20</v>
      </c>
      <c r="B59" s="49"/>
      <c r="C59" s="50" t="s">
        <v>95</v>
      </c>
      <c r="D59" s="51">
        <f t="shared" ref="D59:AI59" si="34">SUM(D56:D58)*-1</f>
        <v>0</v>
      </c>
      <c r="E59" s="51">
        <f t="shared" si="34"/>
        <v>0</v>
      </c>
      <c r="F59" s="51">
        <f t="shared" si="34"/>
        <v>0</v>
      </c>
      <c r="G59" s="51">
        <f t="shared" si="34"/>
        <v>0</v>
      </c>
      <c r="H59" s="51">
        <f t="shared" si="34"/>
        <v>0</v>
      </c>
      <c r="I59" s="51">
        <f t="shared" si="34"/>
        <v>0</v>
      </c>
      <c r="J59" s="51">
        <f t="shared" si="34"/>
        <v>0</v>
      </c>
      <c r="K59" s="51">
        <f t="shared" si="34"/>
        <v>0</v>
      </c>
      <c r="L59" s="51">
        <f t="shared" si="34"/>
        <v>0</v>
      </c>
      <c r="M59" s="51">
        <f t="shared" si="34"/>
        <v>0</v>
      </c>
      <c r="N59" s="51">
        <f t="shared" si="34"/>
        <v>0</v>
      </c>
      <c r="O59" s="51">
        <f t="shared" si="34"/>
        <v>4000</v>
      </c>
      <c r="P59" s="52">
        <f t="shared" si="34"/>
        <v>4000</v>
      </c>
      <c r="Q59" s="51">
        <f t="shared" si="34"/>
        <v>0</v>
      </c>
      <c r="R59" s="51">
        <f t="shared" si="34"/>
        <v>0</v>
      </c>
      <c r="S59" s="51">
        <f t="shared" si="34"/>
        <v>0</v>
      </c>
      <c r="T59" s="51">
        <f t="shared" si="34"/>
        <v>0</v>
      </c>
      <c r="U59" s="51">
        <f t="shared" si="34"/>
        <v>0</v>
      </c>
      <c r="V59" s="51">
        <f t="shared" si="34"/>
        <v>0</v>
      </c>
      <c r="W59" s="51">
        <f t="shared" si="34"/>
        <v>0</v>
      </c>
      <c r="X59" s="51">
        <f t="shared" si="34"/>
        <v>0</v>
      </c>
      <c r="Y59" s="51">
        <f t="shared" si="34"/>
        <v>0</v>
      </c>
      <c r="Z59" s="51">
        <f t="shared" si="34"/>
        <v>0</v>
      </c>
      <c r="AA59" s="51">
        <f t="shared" si="34"/>
        <v>0</v>
      </c>
      <c r="AB59" s="51">
        <f t="shared" si="34"/>
        <v>-1000</v>
      </c>
      <c r="AC59" s="52">
        <f t="shared" si="34"/>
        <v>-1000</v>
      </c>
      <c r="AD59" s="51">
        <f t="shared" si="34"/>
        <v>0</v>
      </c>
      <c r="AE59" s="51">
        <f t="shared" si="34"/>
        <v>0</v>
      </c>
      <c r="AF59" s="51">
        <f t="shared" si="34"/>
        <v>0</v>
      </c>
      <c r="AG59" s="51">
        <f t="shared" si="34"/>
        <v>0</v>
      </c>
      <c r="AH59" s="51">
        <f t="shared" si="34"/>
        <v>0</v>
      </c>
      <c r="AI59" s="51">
        <f t="shared" si="34"/>
        <v>0</v>
      </c>
      <c r="AJ59" s="51">
        <f t="shared" ref="AJ59:BO59" si="35">SUM(AJ56:AJ58)*-1</f>
        <v>6000</v>
      </c>
      <c r="AK59" s="51">
        <f t="shared" si="35"/>
        <v>0</v>
      </c>
      <c r="AL59" s="51">
        <f t="shared" si="35"/>
        <v>0</v>
      </c>
      <c r="AM59" s="51">
        <f t="shared" si="35"/>
        <v>0</v>
      </c>
      <c r="AN59" s="51">
        <f t="shared" si="35"/>
        <v>0</v>
      </c>
      <c r="AO59" s="51">
        <f t="shared" si="35"/>
        <v>-2200</v>
      </c>
      <c r="AP59" s="52">
        <f t="shared" si="35"/>
        <v>3800</v>
      </c>
      <c r="AQ59" s="51">
        <f t="shared" si="35"/>
        <v>0</v>
      </c>
      <c r="AR59" s="51">
        <f t="shared" si="35"/>
        <v>0</v>
      </c>
      <c r="AS59" s="51">
        <f t="shared" si="35"/>
        <v>0</v>
      </c>
      <c r="AT59" s="51">
        <f t="shared" si="35"/>
        <v>0</v>
      </c>
      <c r="AU59" s="51">
        <f t="shared" si="35"/>
        <v>0</v>
      </c>
      <c r="AV59" s="51">
        <f t="shared" si="35"/>
        <v>0</v>
      </c>
      <c r="AW59" s="51">
        <f t="shared" si="35"/>
        <v>0</v>
      </c>
      <c r="AX59" s="51">
        <f t="shared" si="35"/>
        <v>0</v>
      </c>
      <c r="AY59" s="51">
        <f t="shared" si="35"/>
        <v>0</v>
      </c>
      <c r="AZ59" s="51">
        <f t="shared" si="35"/>
        <v>0</v>
      </c>
      <c r="BA59" s="51">
        <f t="shared" si="35"/>
        <v>0</v>
      </c>
      <c r="BB59" s="51">
        <f t="shared" si="35"/>
        <v>0</v>
      </c>
      <c r="BC59" s="52">
        <f t="shared" si="35"/>
        <v>0</v>
      </c>
      <c r="BD59" s="51">
        <f t="shared" si="35"/>
        <v>0</v>
      </c>
      <c r="BE59" s="51">
        <f t="shared" si="35"/>
        <v>0</v>
      </c>
      <c r="BF59" s="51">
        <f t="shared" si="35"/>
        <v>0</v>
      </c>
      <c r="BG59" s="51">
        <f t="shared" si="35"/>
        <v>0</v>
      </c>
      <c r="BH59" s="51">
        <f t="shared" si="35"/>
        <v>0</v>
      </c>
      <c r="BI59" s="51">
        <f t="shared" si="35"/>
        <v>0</v>
      </c>
      <c r="BJ59" s="51">
        <f t="shared" si="35"/>
        <v>0</v>
      </c>
      <c r="BK59" s="51">
        <f t="shared" si="35"/>
        <v>0</v>
      </c>
      <c r="BL59" s="51">
        <f t="shared" si="35"/>
        <v>0</v>
      </c>
      <c r="BM59" s="51">
        <f t="shared" si="35"/>
        <v>0</v>
      </c>
      <c r="BN59" s="51">
        <f t="shared" si="35"/>
        <v>0</v>
      </c>
      <c r="BO59" s="51">
        <f t="shared" si="35"/>
        <v>0</v>
      </c>
      <c r="BP59" s="52">
        <f t="shared" ref="BP59:CU59" si="36">SUM(BP56:BP58)*-1</f>
        <v>0</v>
      </c>
    </row>
    <row r="61" spans="1:68" s="8" customFormat="1" x14ac:dyDescent="0.25">
      <c r="A61" s="38" t="s">
        <v>96</v>
      </c>
      <c r="B61" s="39"/>
      <c r="C61" s="38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1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1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1"/>
      <c r="AQ61" s="42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1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1"/>
    </row>
    <row r="62" spans="1:68" x14ac:dyDescent="0.25">
      <c r="A62" t="s">
        <v>97</v>
      </c>
      <c r="B62" s="2" t="s">
        <v>96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4">
        <f>SUM(D62:O62)</f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4">
        <f>SUM(Q62:AB62)</f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4">
        <f>SUM(AD62:AO62)</f>
        <v>0</v>
      </c>
      <c r="AQ62" s="5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4">
        <f>SUM(AQ62:BB62)</f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4">
        <f>SUM(BD62:BO62)</f>
        <v>0</v>
      </c>
    </row>
    <row r="63" spans="1:68" s="10" customFormat="1" x14ac:dyDescent="0.25">
      <c r="A63" s="48" t="s">
        <v>20</v>
      </c>
      <c r="B63" s="49"/>
      <c r="C63" s="50" t="s">
        <v>98</v>
      </c>
      <c r="D63" s="51">
        <f t="shared" ref="D63:AI63" si="37">SUM(D62:D62)*-1</f>
        <v>0</v>
      </c>
      <c r="E63" s="51">
        <f t="shared" si="37"/>
        <v>0</v>
      </c>
      <c r="F63" s="51">
        <f t="shared" si="37"/>
        <v>0</v>
      </c>
      <c r="G63" s="51">
        <f t="shared" si="37"/>
        <v>0</v>
      </c>
      <c r="H63" s="51">
        <f t="shared" si="37"/>
        <v>0</v>
      </c>
      <c r="I63" s="51">
        <f t="shared" si="37"/>
        <v>0</v>
      </c>
      <c r="J63" s="51">
        <f t="shared" si="37"/>
        <v>0</v>
      </c>
      <c r="K63" s="51">
        <f t="shared" si="37"/>
        <v>0</v>
      </c>
      <c r="L63" s="51">
        <f t="shared" si="37"/>
        <v>0</v>
      </c>
      <c r="M63" s="51">
        <f t="shared" si="37"/>
        <v>0</v>
      </c>
      <c r="N63" s="51">
        <f t="shared" si="37"/>
        <v>0</v>
      </c>
      <c r="O63" s="51">
        <f t="shared" si="37"/>
        <v>0</v>
      </c>
      <c r="P63" s="52">
        <f t="shared" si="37"/>
        <v>0</v>
      </c>
      <c r="Q63" s="51">
        <f t="shared" si="37"/>
        <v>0</v>
      </c>
      <c r="R63" s="51">
        <f t="shared" si="37"/>
        <v>0</v>
      </c>
      <c r="S63" s="51">
        <f t="shared" si="37"/>
        <v>0</v>
      </c>
      <c r="T63" s="51">
        <f t="shared" si="37"/>
        <v>0</v>
      </c>
      <c r="U63" s="51">
        <f t="shared" si="37"/>
        <v>0</v>
      </c>
      <c r="V63" s="51">
        <f t="shared" si="37"/>
        <v>0</v>
      </c>
      <c r="W63" s="51">
        <f t="shared" si="37"/>
        <v>0</v>
      </c>
      <c r="X63" s="51">
        <f t="shared" si="37"/>
        <v>0</v>
      </c>
      <c r="Y63" s="51">
        <f t="shared" si="37"/>
        <v>0</v>
      </c>
      <c r="Z63" s="51">
        <f t="shared" si="37"/>
        <v>0</v>
      </c>
      <c r="AA63" s="51">
        <f t="shared" si="37"/>
        <v>0</v>
      </c>
      <c r="AB63" s="51">
        <f t="shared" si="37"/>
        <v>0</v>
      </c>
      <c r="AC63" s="52">
        <f t="shared" si="37"/>
        <v>0</v>
      </c>
      <c r="AD63" s="51">
        <f t="shared" si="37"/>
        <v>0</v>
      </c>
      <c r="AE63" s="51">
        <f t="shared" si="37"/>
        <v>0</v>
      </c>
      <c r="AF63" s="51">
        <f t="shared" si="37"/>
        <v>0</v>
      </c>
      <c r="AG63" s="51">
        <f t="shared" si="37"/>
        <v>0</v>
      </c>
      <c r="AH63" s="51">
        <f t="shared" si="37"/>
        <v>0</v>
      </c>
      <c r="AI63" s="51">
        <f t="shared" si="37"/>
        <v>0</v>
      </c>
      <c r="AJ63" s="51">
        <f t="shared" ref="AJ63:BO63" si="38">SUM(AJ62:AJ62)*-1</f>
        <v>0</v>
      </c>
      <c r="AK63" s="51">
        <f t="shared" si="38"/>
        <v>0</v>
      </c>
      <c r="AL63" s="51">
        <f t="shared" si="38"/>
        <v>0</v>
      </c>
      <c r="AM63" s="51">
        <f t="shared" si="38"/>
        <v>0</v>
      </c>
      <c r="AN63" s="51">
        <f t="shared" si="38"/>
        <v>0</v>
      </c>
      <c r="AO63" s="51">
        <f t="shared" si="38"/>
        <v>0</v>
      </c>
      <c r="AP63" s="52">
        <f t="shared" si="38"/>
        <v>0</v>
      </c>
      <c r="AQ63" s="51">
        <f t="shared" si="38"/>
        <v>0</v>
      </c>
      <c r="AR63" s="51">
        <f t="shared" si="38"/>
        <v>0</v>
      </c>
      <c r="AS63" s="51">
        <f t="shared" si="38"/>
        <v>0</v>
      </c>
      <c r="AT63" s="51">
        <f t="shared" si="38"/>
        <v>0</v>
      </c>
      <c r="AU63" s="51">
        <f t="shared" si="38"/>
        <v>0</v>
      </c>
      <c r="AV63" s="51">
        <f t="shared" si="38"/>
        <v>0</v>
      </c>
      <c r="AW63" s="51">
        <f t="shared" si="38"/>
        <v>0</v>
      </c>
      <c r="AX63" s="51">
        <f t="shared" si="38"/>
        <v>0</v>
      </c>
      <c r="AY63" s="51">
        <f t="shared" si="38"/>
        <v>0</v>
      </c>
      <c r="AZ63" s="51">
        <f t="shared" si="38"/>
        <v>0</v>
      </c>
      <c r="BA63" s="51">
        <f t="shared" si="38"/>
        <v>0</v>
      </c>
      <c r="BB63" s="51">
        <f t="shared" si="38"/>
        <v>0</v>
      </c>
      <c r="BC63" s="52">
        <f t="shared" si="38"/>
        <v>0</v>
      </c>
      <c r="BD63" s="51">
        <f t="shared" si="38"/>
        <v>0</v>
      </c>
      <c r="BE63" s="51">
        <f t="shared" si="38"/>
        <v>0</v>
      </c>
      <c r="BF63" s="51">
        <f t="shared" si="38"/>
        <v>0</v>
      </c>
      <c r="BG63" s="51">
        <f t="shared" si="38"/>
        <v>0</v>
      </c>
      <c r="BH63" s="51">
        <f t="shared" si="38"/>
        <v>0</v>
      </c>
      <c r="BI63" s="51">
        <f t="shared" si="38"/>
        <v>0</v>
      </c>
      <c r="BJ63" s="51">
        <f t="shared" si="38"/>
        <v>0</v>
      </c>
      <c r="BK63" s="51">
        <f t="shared" si="38"/>
        <v>0</v>
      </c>
      <c r="BL63" s="51">
        <f t="shared" si="38"/>
        <v>0</v>
      </c>
      <c r="BM63" s="51">
        <f t="shared" si="38"/>
        <v>0</v>
      </c>
      <c r="BN63" s="51">
        <f t="shared" si="38"/>
        <v>0</v>
      </c>
      <c r="BO63" s="51">
        <f t="shared" si="38"/>
        <v>0</v>
      </c>
      <c r="BP63" s="52">
        <f t="shared" ref="BP63:CU63" si="39">SUM(BP62:BP62)*-1</f>
        <v>0</v>
      </c>
    </row>
    <row r="65" spans="1:68" s="8" customFormat="1" x14ac:dyDescent="0.25">
      <c r="A65" s="38" t="s">
        <v>99</v>
      </c>
      <c r="B65" s="39"/>
      <c r="C65" s="38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1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1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1"/>
      <c r="AQ65" s="42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1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1"/>
    </row>
    <row r="66" spans="1:68" x14ac:dyDescent="0.25">
      <c r="A66" t="s">
        <v>100</v>
      </c>
      <c r="B66" s="2" t="s">
        <v>101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4">
        <f>SUM(D66:O66)</f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4">
        <f>SUM(Q66:AB66)</f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4">
        <f>SUM(AD66:AO66)</f>
        <v>0</v>
      </c>
      <c r="AQ66" s="5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4">
        <f>SUM(AQ66:BB66)</f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4">
        <f>SUM(BD66:BO66)</f>
        <v>0</v>
      </c>
    </row>
    <row r="67" spans="1:68" x14ac:dyDescent="0.25">
      <c r="A67" t="s">
        <v>102</v>
      </c>
      <c r="B67" s="2" t="s">
        <v>103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4">
        <f>SUM(D67:O67)</f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4">
        <f>SUM(Q67:AB67)</f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4">
        <f>SUM(AD67:AO67)</f>
        <v>0</v>
      </c>
      <c r="AQ67" s="5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4">
        <f>SUM(AQ67:BB67)</f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4">
        <f>SUM(BD67:BO67)</f>
        <v>0</v>
      </c>
    </row>
    <row r="68" spans="1:68" x14ac:dyDescent="0.25">
      <c r="A68" t="s">
        <v>104</v>
      </c>
      <c r="B68" s="2" t="s">
        <v>105</v>
      </c>
      <c r="D68" s="3">
        <v>0</v>
      </c>
      <c r="E68" s="3">
        <v>0</v>
      </c>
      <c r="F68" s="3">
        <v>0</v>
      </c>
      <c r="G68" s="3">
        <v>160</v>
      </c>
      <c r="H68" s="3">
        <v>0</v>
      </c>
      <c r="I68" s="3">
        <v>0</v>
      </c>
      <c r="J68" s="3">
        <v>0</v>
      </c>
      <c r="K68" s="3">
        <v>155</v>
      </c>
      <c r="L68" s="3">
        <v>0</v>
      </c>
      <c r="M68" s="3">
        <v>0</v>
      </c>
      <c r="N68" s="3">
        <v>0</v>
      </c>
      <c r="O68" s="3">
        <v>191</v>
      </c>
      <c r="P68" s="4">
        <f>SUM(D68:O68)</f>
        <v>506</v>
      </c>
      <c r="Q68" s="3">
        <v>0</v>
      </c>
      <c r="R68" s="3">
        <v>0</v>
      </c>
      <c r="S68" s="3">
        <v>0</v>
      </c>
      <c r="T68" s="3">
        <v>52</v>
      </c>
      <c r="U68" s="3">
        <v>0</v>
      </c>
      <c r="V68" s="3">
        <v>0</v>
      </c>
      <c r="W68" s="3">
        <v>0</v>
      </c>
      <c r="X68" s="3">
        <v>149</v>
      </c>
      <c r="Y68" s="3">
        <v>0</v>
      </c>
      <c r="Z68" s="3">
        <v>0</v>
      </c>
      <c r="AA68" s="3">
        <v>0</v>
      </c>
      <c r="AB68" s="3">
        <v>163</v>
      </c>
      <c r="AC68" s="4">
        <f>SUM(Q68:AB68)</f>
        <v>364</v>
      </c>
      <c r="AD68" s="3">
        <v>0</v>
      </c>
      <c r="AE68" s="3">
        <v>0</v>
      </c>
      <c r="AF68" s="3">
        <v>0</v>
      </c>
      <c r="AG68" s="3">
        <v>57</v>
      </c>
      <c r="AH68" s="3">
        <v>0</v>
      </c>
      <c r="AI68" s="3">
        <v>0</v>
      </c>
      <c r="AJ68" s="3">
        <v>0</v>
      </c>
      <c r="AK68" s="3">
        <v>199</v>
      </c>
      <c r="AL68" s="3">
        <v>0</v>
      </c>
      <c r="AM68" s="3">
        <v>0</v>
      </c>
      <c r="AN68" s="3">
        <v>0</v>
      </c>
      <c r="AO68" s="3">
        <v>60</v>
      </c>
      <c r="AP68" s="4">
        <f>SUM(AD68:AO68)</f>
        <v>316</v>
      </c>
      <c r="AQ68" s="5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4">
        <f>SUM(AQ68:BB68)</f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4">
        <f>SUM(BD68:BO68)</f>
        <v>0</v>
      </c>
    </row>
    <row r="69" spans="1:68" s="10" customFormat="1" x14ac:dyDescent="0.25">
      <c r="A69" s="48" t="s">
        <v>20</v>
      </c>
      <c r="B69" s="49"/>
      <c r="C69" s="50" t="s">
        <v>106</v>
      </c>
      <c r="D69" s="51">
        <f t="shared" ref="D69:AI69" si="40">SUM(D66:D68)*-1</f>
        <v>0</v>
      </c>
      <c r="E69" s="51">
        <f t="shared" si="40"/>
        <v>0</v>
      </c>
      <c r="F69" s="51">
        <f t="shared" si="40"/>
        <v>0</v>
      </c>
      <c r="G69" s="51">
        <f t="shared" si="40"/>
        <v>-160</v>
      </c>
      <c r="H69" s="51">
        <f t="shared" si="40"/>
        <v>0</v>
      </c>
      <c r="I69" s="51">
        <f t="shared" si="40"/>
        <v>0</v>
      </c>
      <c r="J69" s="51">
        <f t="shared" si="40"/>
        <v>0</v>
      </c>
      <c r="K69" s="51">
        <f t="shared" si="40"/>
        <v>-155</v>
      </c>
      <c r="L69" s="51">
        <f t="shared" si="40"/>
        <v>0</v>
      </c>
      <c r="M69" s="51">
        <f t="shared" si="40"/>
        <v>0</v>
      </c>
      <c r="N69" s="51">
        <f t="shared" si="40"/>
        <v>0</v>
      </c>
      <c r="O69" s="51">
        <f t="shared" si="40"/>
        <v>-191</v>
      </c>
      <c r="P69" s="52">
        <f t="shared" si="40"/>
        <v>-506</v>
      </c>
      <c r="Q69" s="51">
        <f t="shared" si="40"/>
        <v>0</v>
      </c>
      <c r="R69" s="51">
        <f t="shared" si="40"/>
        <v>0</v>
      </c>
      <c r="S69" s="51">
        <f t="shared" si="40"/>
        <v>0</v>
      </c>
      <c r="T69" s="51">
        <f t="shared" si="40"/>
        <v>-52</v>
      </c>
      <c r="U69" s="51">
        <f t="shared" si="40"/>
        <v>0</v>
      </c>
      <c r="V69" s="51">
        <f t="shared" si="40"/>
        <v>0</v>
      </c>
      <c r="W69" s="51">
        <f t="shared" si="40"/>
        <v>0</v>
      </c>
      <c r="X69" s="51">
        <f t="shared" si="40"/>
        <v>-149</v>
      </c>
      <c r="Y69" s="51">
        <f t="shared" si="40"/>
        <v>0</v>
      </c>
      <c r="Z69" s="51">
        <f t="shared" si="40"/>
        <v>0</v>
      </c>
      <c r="AA69" s="51">
        <f t="shared" si="40"/>
        <v>0</v>
      </c>
      <c r="AB69" s="51">
        <f t="shared" si="40"/>
        <v>-163</v>
      </c>
      <c r="AC69" s="52">
        <f t="shared" si="40"/>
        <v>-364</v>
      </c>
      <c r="AD69" s="51">
        <f t="shared" si="40"/>
        <v>0</v>
      </c>
      <c r="AE69" s="51">
        <f t="shared" si="40"/>
        <v>0</v>
      </c>
      <c r="AF69" s="51">
        <f t="shared" si="40"/>
        <v>0</v>
      </c>
      <c r="AG69" s="51">
        <f t="shared" si="40"/>
        <v>-57</v>
      </c>
      <c r="AH69" s="51">
        <f t="shared" si="40"/>
        <v>0</v>
      </c>
      <c r="AI69" s="51">
        <f t="shared" si="40"/>
        <v>0</v>
      </c>
      <c r="AJ69" s="51">
        <f t="shared" ref="AJ69:BO69" si="41">SUM(AJ66:AJ68)*-1</f>
        <v>0</v>
      </c>
      <c r="AK69" s="51">
        <f t="shared" si="41"/>
        <v>-199</v>
      </c>
      <c r="AL69" s="51">
        <f t="shared" si="41"/>
        <v>0</v>
      </c>
      <c r="AM69" s="51">
        <f t="shared" si="41"/>
        <v>0</v>
      </c>
      <c r="AN69" s="51">
        <f t="shared" si="41"/>
        <v>0</v>
      </c>
      <c r="AO69" s="51">
        <f t="shared" si="41"/>
        <v>-60</v>
      </c>
      <c r="AP69" s="52">
        <f t="shared" si="41"/>
        <v>-316</v>
      </c>
      <c r="AQ69" s="51">
        <f t="shared" si="41"/>
        <v>0</v>
      </c>
      <c r="AR69" s="51">
        <f t="shared" si="41"/>
        <v>0</v>
      </c>
      <c r="AS69" s="51">
        <f t="shared" si="41"/>
        <v>0</v>
      </c>
      <c r="AT69" s="51">
        <f t="shared" si="41"/>
        <v>0</v>
      </c>
      <c r="AU69" s="51">
        <f t="shared" si="41"/>
        <v>0</v>
      </c>
      <c r="AV69" s="51">
        <f t="shared" si="41"/>
        <v>0</v>
      </c>
      <c r="AW69" s="51">
        <f t="shared" si="41"/>
        <v>0</v>
      </c>
      <c r="AX69" s="51">
        <f t="shared" si="41"/>
        <v>0</v>
      </c>
      <c r="AY69" s="51">
        <f t="shared" si="41"/>
        <v>0</v>
      </c>
      <c r="AZ69" s="51">
        <f t="shared" si="41"/>
        <v>0</v>
      </c>
      <c r="BA69" s="51">
        <f t="shared" si="41"/>
        <v>0</v>
      </c>
      <c r="BB69" s="51">
        <f t="shared" si="41"/>
        <v>0</v>
      </c>
      <c r="BC69" s="52">
        <f t="shared" si="41"/>
        <v>0</v>
      </c>
      <c r="BD69" s="51">
        <f t="shared" si="41"/>
        <v>0</v>
      </c>
      <c r="BE69" s="51">
        <f t="shared" si="41"/>
        <v>0</v>
      </c>
      <c r="BF69" s="51">
        <f t="shared" si="41"/>
        <v>0</v>
      </c>
      <c r="BG69" s="51">
        <f t="shared" si="41"/>
        <v>0</v>
      </c>
      <c r="BH69" s="51">
        <f t="shared" si="41"/>
        <v>0</v>
      </c>
      <c r="BI69" s="51">
        <f t="shared" si="41"/>
        <v>0</v>
      </c>
      <c r="BJ69" s="51">
        <f t="shared" si="41"/>
        <v>0</v>
      </c>
      <c r="BK69" s="51">
        <f t="shared" si="41"/>
        <v>0</v>
      </c>
      <c r="BL69" s="51">
        <f t="shared" si="41"/>
        <v>0</v>
      </c>
      <c r="BM69" s="51">
        <f t="shared" si="41"/>
        <v>0</v>
      </c>
      <c r="BN69" s="51">
        <f t="shared" si="41"/>
        <v>0</v>
      </c>
      <c r="BO69" s="51">
        <f t="shared" si="41"/>
        <v>0</v>
      </c>
      <c r="BP69" s="52">
        <f t="shared" ref="BP69:CU69" si="42">SUM(BP66:BP68)*-1</f>
        <v>0</v>
      </c>
    </row>
    <row r="71" spans="1:68" s="11" customFormat="1" x14ac:dyDescent="0.25">
      <c r="A71" s="11" t="s">
        <v>107</v>
      </c>
      <c r="B71" s="53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5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5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5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5"/>
      <c r="BD71" s="54"/>
      <c r="BE71" s="54"/>
      <c r="BF71" s="54"/>
      <c r="BG71" s="54"/>
      <c r="BH71" s="54"/>
      <c r="BI71" s="54"/>
      <c r="BJ71" s="54"/>
      <c r="BK71" s="54"/>
      <c r="BL71" s="54"/>
      <c r="BM71" s="54"/>
      <c r="BN71" s="54"/>
      <c r="BO71" s="54"/>
      <c r="BP71" s="55"/>
    </row>
    <row r="72" spans="1:68" customFormat="1" x14ac:dyDescent="0.25">
      <c r="A72" t="s">
        <v>31</v>
      </c>
      <c r="B72" s="2" t="s">
        <v>29</v>
      </c>
      <c r="D72" s="27">
        <f t="shared" ref="D72:AI72" si="43">D8</f>
        <v>0</v>
      </c>
      <c r="E72" s="27">
        <f t="shared" si="43"/>
        <v>0</v>
      </c>
      <c r="F72" s="27">
        <f t="shared" si="43"/>
        <v>0</v>
      </c>
      <c r="G72" s="27">
        <f t="shared" si="43"/>
        <v>0</v>
      </c>
      <c r="H72" s="27">
        <f t="shared" si="43"/>
        <v>0</v>
      </c>
      <c r="I72" s="27">
        <f t="shared" si="43"/>
        <v>0</v>
      </c>
      <c r="J72" s="27">
        <f t="shared" si="43"/>
        <v>0</v>
      </c>
      <c r="K72" s="27">
        <f t="shared" si="43"/>
        <v>0</v>
      </c>
      <c r="L72" s="27">
        <f t="shared" si="43"/>
        <v>0</v>
      </c>
      <c r="M72" s="27">
        <f t="shared" si="43"/>
        <v>0</v>
      </c>
      <c r="N72" s="27">
        <f t="shared" si="43"/>
        <v>0</v>
      </c>
      <c r="O72" s="27">
        <f t="shared" si="43"/>
        <v>0</v>
      </c>
      <c r="P72" s="4">
        <f t="shared" si="43"/>
        <v>0</v>
      </c>
      <c r="Q72" s="27">
        <f t="shared" si="43"/>
        <v>0</v>
      </c>
      <c r="R72" s="27">
        <f t="shared" si="43"/>
        <v>0</v>
      </c>
      <c r="S72" s="27">
        <f t="shared" si="43"/>
        <v>0</v>
      </c>
      <c r="T72" s="27">
        <f t="shared" si="43"/>
        <v>0</v>
      </c>
      <c r="U72" s="27">
        <f t="shared" si="43"/>
        <v>0</v>
      </c>
      <c r="V72" s="27">
        <f t="shared" si="43"/>
        <v>0</v>
      </c>
      <c r="W72" s="27">
        <f t="shared" si="43"/>
        <v>0</v>
      </c>
      <c r="X72" s="27">
        <f t="shared" si="43"/>
        <v>0</v>
      </c>
      <c r="Y72" s="27">
        <f t="shared" si="43"/>
        <v>0</v>
      </c>
      <c r="Z72" s="27">
        <f t="shared" si="43"/>
        <v>0</v>
      </c>
      <c r="AA72" s="27">
        <f t="shared" si="43"/>
        <v>0</v>
      </c>
      <c r="AB72" s="27">
        <f t="shared" si="43"/>
        <v>0</v>
      </c>
      <c r="AC72" s="4">
        <f t="shared" si="43"/>
        <v>0</v>
      </c>
      <c r="AD72" s="27">
        <f t="shared" si="43"/>
        <v>0</v>
      </c>
      <c r="AE72" s="27">
        <f t="shared" si="43"/>
        <v>12000</v>
      </c>
      <c r="AF72" s="27">
        <f t="shared" si="43"/>
        <v>0</v>
      </c>
      <c r="AG72" s="27">
        <f t="shared" si="43"/>
        <v>0</v>
      </c>
      <c r="AH72" s="27">
        <f t="shared" si="43"/>
        <v>0</v>
      </c>
      <c r="AI72" s="27">
        <f t="shared" si="43"/>
        <v>0</v>
      </c>
      <c r="AJ72" s="27">
        <f t="shared" ref="AJ72:BP72" si="44">AJ8</f>
        <v>0</v>
      </c>
      <c r="AK72" s="27">
        <f t="shared" si="44"/>
        <v>0</v>
      </c>
      <c r="AL72" s="27">
        <f t="shared" si="44"/>
        <v>0</v>
      </c>
      <c r="AM72" s="27">
        <f t="shared" si="44"/>
        <v>0</v>
      </c>
      <c r="AN72" s="27">
        <f t="shared" si="44"/>
        <v>0</v>
      </c>
      <c r="AO72" s="27">
        <f t="shared" si="44"/>
        <v>0</v>
      </c>
      <c r="AP72" s="4">
        <f t="shared" si="44"/>
        <v>12000</v>
      </c>
      <c r="AQ72" s="28">
        <f t="shared" si="44"/>
        <v>0</v>
      </c>
      <c r="AR72" s="27">
        <f t="shared" si="44"/>
        <v>0</v>
      </c>
      <c r="AS72" s="27">
        <f t="shared" si="44"/>
        <v>0</v>
      </c>
      <c r="AT72" s="27">
        <f t="shared" si="44"/>
        <v>0</v>
      </c>
      <c r="AU72" s="27">
        <f t="shared" si="44"/>
        <v>0</v>
      </c>
      <c r="AV72" s="27">
        <f t="shared" si="44"/>
        <v>0</v>
      </c>
      <c r="AW72" s="27">
        <f t="shared" si="44"/>
        <v>0</v>
      </c>
      <c r="AX72" s="27">
        <f t="shared" si="44"/>
        <v>0</v>
      </c>
      <c r="AY72" s="27">
        <f t="shared" si="44"/>
        <v>0</v>
      </c>
      <c r="AZ72" s="27">
        <f t="shared" si="44"/>
        <v>0</v>
      </c>
      <c r="BA72" s="27">
        <f t="shared" si="44"/>
        <v>0</v>
      </c>
      <c r="BB72" s="27">
        <f t="shared" si="44"/>
        <v>0</v>
      </c>
      <c r="BC72" s="4">
        <f t="shared" si="44"/>
        <v>0</v>
      </c>
      <c r="BD72" s="27">
        <f t="shared" si="44"/>
        <v>0</v>
      </c>
      <c r="BE72" s="27">
        <f t="shared" si="44"/>
        <v>0</v>
      </c>
      <c r="BF72" s="27">
        <f t="shared" si="44"/>
        <v>0</v>
      </c>
      <c r="BG72" s="27">
        <f t="shared" si="44"/>
        <v>0</v>
      </c>
      <c r="BH72" s="27">
        <f t="shared" si="44"/>
        <v>0</v>
      </c>
      <c r="BI72" s="27">
        <f t="shared" si="44"/>
        <v>0</v>
      </c>
      <c r="BJ72" s="27">
        <f t="shared" si="44"/>
        <v>0</v>
      </c>
      <c r="BK72" s="27">
        <f t="shared" si="44"/>
        <v>0</v>
      </c>
      <c r="BL72" s="27">
        <f t="shared" si="44"/>
        <v>0</v>
      </c>
      <c r="BM72" s="27">
        <f t="shared" si="44"/>
        <v>0</v>
      </c>
      <c r="BN72" s="27">
        <f t="shared" si="44"/>
        <v>0</v>
      </c>
      <c r="BO72" s="27">
        <f t="shared" si="44"/>
        <v>0</v>
      </c>
      <c r="BP72" s="4">
        <f t="shared" si="44"/>
        <v>0</v>
      </c>
    </row>
    <row r="73" spans="1:68" customFormat="1" x14ac:dyDescent="0.25">
      <c r="A73" t="s">
        <v>34</v>
      </c>
      <c r="B73" s="2" t="s">
        <v>32</v>
      </c>
      <c r="D73" s="27">
        <f t="shared" ref="D73:AI73" si="45">D12</f>
        <v>0</v>
      </c>
      <c r="E73" s="27">
        <f t="shared" si="45"/>
        <v>0</v>
      </c>
      <c r="F73" s="27">
        <f t="shared" si="45"/>
        <v>0</v>
      </c>
      <c r="G73" s="27">
        <f t="shared" si="45"/>
        <v>0</v>
      </c>
      <c r="H73" s="27">
        <f t="shared" si="45"/>
        <v>0</v>
      </c>
      <c r="I73" s="27">
        <f t="shared" si="45"/>
        <v>0</v>
      </c>
      <c r="J73" s="27">
        <f t="shared" si="45"/>
        <v>0</v>
      </c>
      <c r="K73" s="27">
        <f t="shared" si="45"/>
        <v>0</v>
      </c>
      <c r="L73" s="27">
        <f t="shared" si="45"/>
        <v>0</v>
      </c>
      <c r="M73" s="27">
        <f t="shared" si="45"/>
        <v>0</v>
      </c>
      <c r="N73" s="27">
        <f t="shared" si="45"/>
        <v>0</v>
      </c>
      <c r="O73" s="27">
        <f t="shared" si="45"/>
        <v>0</v>
      </c>
      <c r="P73" s="4">
        <f t="shared" si="45"/>
        <v>0</v>
      </c>
      <c r="Q73" s="27">
        <f t="shared" si="45"/>
        <v>0</v>
      </c>
      <c r="R73" s="27">
        <f t="shared" si="45"/>
        <v>0</v>
      </c>
      <c r="S73" s="27">
        <f t="shared" si="45"/>
        <v>0</v>
      </c>
      <c r="T73" s="27">
        <f t="shared" si="45"/>
        <v>0</v>
      </c>
      <c r="U73" s="27">
        <f t="shared" si="45"/>
        <v>0</v>
      </c>
      <c r="V73" s="27">
        <f t="shared" si="45"/>
        <v>0</v>
      </c>
      <c r="W73" s="27">
        <f t="shared" si="45"/>
        <v>0</v>
      </c>
      <c r="X73" s="27">
        <f t="shared" si="45"/>
        <v>0</v>
      </c>
      <c r="Y73" s="27">
        <f t="shared" si="45"/>
        <v>0</v>
      </c>
      <c r="Z73" s="27">
        <f t="shared" si="45"/>
        <v>0</v>
      </c>
      <c r="AA73" s="27">
        <f t="shared" si="45"/>
        <v>0</v>
      </c>
      <c r="AB73" s="27">
        <f t="shared" si="45"/>
        <v>0</v>
      </c>
      <c r="AC73" s="4">
        <f t="shared" si="45"/>
        <v>0</v>
      </c>
      <c r="AD73" s="27">
        <f t="shared" si="45"/>
        <v>0</v>
      </c>
      <c r="AE73" s="27">
        <f t="shared" si="45"/>
        <v>0</v>
      </c>
      <c r="AF73" s="27">
        <f t="shared" si="45"/>
        <v>0</v>
      </c>
      <c r="AG73" s="27">
        <f t="shared" si="45"/>
        <v>0</v>
      </c>
      <c r="AH73" s="27">
        <f t="shared" si="45"/>
        <v>-3600</v>
      </c>
      <c r="AI73" s="27">
        <f t="shared" si="45"/>
        <v>0</v>
      </c>
      <c r="AJ73" s="27">
        <f t="shared" ref="AJ73:BP73" si="46">AJ12</f>
        <v>0</v>
      </c>
      <c r="AK73" s="27">
        <f t="shared" si="46"/>
        <v>0</v>
      </c>
      <c r="AL73" s="27">
        <f t="shared" si="46"/>
        <v>0</v>
      </c>
      <c r="AM73" s="27">
        <f t="shared" si="46"/>
        <v>0</v>
      </c>
      <c r="AN73" s="27">
        <f t="shared" si="46"/>
        <v>0</v>
      </c>
      <c r="AO73" s="27">
        <f t="shared" si="46"/>
        <v>0</v>
      </c>
      <c r="AP73" s="4">
        <f t="shared" si="46"/>
        <v>-3600</v>
      </c>
      <c r="AQ73" s="28">
        <f t="shared" si="46"/>
        <v>0</v>
      </c>
      <c r="AR73" s="27">
        <f t="shared" si="46"/>
        <v>0</v>
      </c>
      <c r="AS73" s="27">
        <f t="shared" si="46"/>
        <v>0</v>
      </c>
      <c r="AT73" s="27">
        <f t="shared" si="46"/>
        <v>0</v>
      </c>
      <c r="AU73" s="27">
        <f t="shared" si="46"/>
        <v>0</v>
      </c>
      <c r="AV73" s="27">
        <f t="shared" si="46"/>
        <v>0</v>
      </c>
      <c r="AW73" s="27">
        <f t="shared" si="46"/>
        <v>0</v>
      </c>
      <c r="AX73" s="27">
        <f t="shared" si="46"/>
        <v>0</v>
      </c>
      <c r="AY73" s="27">
        <f t="shared" si="46"/>
        <v>0</v>
      </c>
      <c r="AZ73" s="27">
        <f t="shared" si="46"/>
        <v>0</v>
      </c>
      <c r="BA73" s="27">
        <f t="shared" si="46"/>
        <v>0</v>
      </c>
      <c r="BB73" s="27">
        <f t="shared" si="46"/>
        <v>0</v>
      </c>
      <c r="BC73" s="4">
        <f t="shared" si="46"/>
        <v>0</v>
      </c>
      <c r="BD73" s="27">
        <f t="shared" si="46"/>
        <v>0</v>
      </c>
      <c r="BE73" s="27">
        <f t="shared" si="46"/>
        <v>0</v>
      </c>
      <c r="BF73" s="27">
        <f t="shared" si="46"/>
        <v>0</v>
      </c>
      <c r="BG73" s="27">
        <f t="shared" si="46"/>
        <v>0</v>
      </c>
      <c r="BH73" s="27">
        <f t="shared" si="46"/>
        <v>0</v>
      </c>
      <c r="BI73" s="27">
        <f t="shared" si="46"/>
        <v>0</v>
      </c>
      <c r="BJ73" s="27">
        <f t="shared" si="46"/>
        <v>0</v>
      </c>
      <c r="BK73" s="27">
        <f t="shared" si="46"/>
        <v>0</v>
      </c>
      <c r="BL73" s="27">
        <f t="shared" si="46"/>
        <v>0</v>
      </c>
      <c r="BM73" s="27">
        <f t="shared" si="46"/>
        <v>0</v>
      </c>
      <c r="BN73" s="27">
        <f t="shared" si="46"/>
        <v>0</v>
      </c>
      <c r="BO73" s="27">
        <f t="shared" si="46"/>
        <v>0</v>
      </c>
      <c r="BP73" s="4">
        <f t="shared" si="46"/>
        <v>0</v>
      </c>
    </row>
    <row r="74" spans="1:68" customFormat="1" x14ac:dyDescent="0.25">
      <c r="A74" t="s">
        <v>37</v>
      </c>
      <c r="B74" s="2" t="s">
        <v>35</v>
      </c>
      <c r="D74" s="27">
        <f t="shared" ref="D74:AI74" si="47">D16</f>
        <v>0</v>
      </c>
      <c r="E74" s="27">
        <f t="shared" si="47"/>
        <v>0</v>
      </c>
      <c r="F74" s="27">
        <f t="shared" si="47"/>
        <v>0</v>
      </c>
      <c r="G74" s="27">
        <f t="shared" si="47"/>
        <v>0</v>
      </c>
      <c r="H74" s="27">
        <f t="shared" si="47"/>
        <v>0</v>
      </c>
      <c r="I74" s="27">
        <f t="shared" si="47"/>
        <v>0</v>
      </c>
      <c r="J74" s="27">
        <f t="shared" si="47"/>
        <v>0</v>
      </c>
      <c r="K74" s="27">
        <f t="shared" si="47"/>
        <v>0</v>
      </c>
      <c r="L74" s="27">
        <f t="shared" si="47"/>
        <v>0</v>
      </c>
      <c r="M74" s="27">
        <f t="shared" si="47"/>
        <v>0</v>
      </c>
      <c r="N74" s="27">
        <f t="shared" si="47"/>
        <v>0</v>
      </c>
      <c r="O74" s="27">
        <f t="shared" si="47"/>
        <v>0</v>
      </c>
      <c r="P74" s="4">
        <f t="shared" si="47"/>
        <v>0</v>
      </c>
      <c r="Q74" s="27">
        <f t="shared" si="47"/>
        <v>0</v>
      </c>
      <c r="R74" s="27">
        <f t="shared" si="47"/>
        <v>0</v>
      </c>
      <c r="S74" s="27">
        <f t="shared" si="47"/>
        <v>0</v>
      </c>
      <c r="T74" s="27">
        <f t="shared" si="47"/>
        <v>0</v>
      </c>
      <c r="U74" s="27">
        <f t="shared" si="47"/>
        <v>0</v>
      </c>
      <c r="V74" s="27">
        <f t="shared" si="47"/>
        <v>0</v>
      </c>
      <c r="W74" s="27">
        <f t="shared" si="47"/>
        <v>0</v>
      </c>
      <c r="X74" s="27">
        <f t="shared" si="47"/>
        <v>0</v>
      </c>
      <c r="Y74" s="27">
        <f t="shared" si="47"/>
        <v>0</v>
      </c>
      <c r="Z74" s="27">
        <f t="shared" si="47"/>
        <v>0</v>
      </c>
      <c r="AA74" s="27">
        <f t="shared" si="47"/>
        <v>0</v>
      </c>
      <c r="AB74" s="27">
        <f t="shared" si="47"/>
        <v>0</v>
      </c>
      <c r="AC74" s="4">
        <f t="shared" si="47"/>
        <v>0</v>
      </c>
      <c r="AD74" s="27">
        <f t="shared" si="47"/>
        <v>0</v>
      </c>
      <c r="AE74" s="27">
        <f t="shared" si="47"/>
        <v>0</v>
      </c>
      <c r="AF74" s="27">
        <f t="shared" si="47"/>
        <v>0</v>
      </c>
      <c r="AG74" s="27">
        <f t="shared" si="47"/>
        <v>0</v>
      </c>
      <c r="AH74" s="27">
        <f t="shared" si="47"/>
        <v>0</v>
      </c>
      <c r="AI74" s="27">
        <f t="shared" si="47"/>
        <v>0</v>
      </c>
      <c r="AJ74" s="27">
        <f t="shared" ref="AJ74:BP74" si="48">AJ16</f>
        <v>-6000</v>
      </c>
      <c r="AK74" s="27">
        <f t="shared" si="48"/>
        <v>0</v>
      </c>
      <c r="AL74" s="27">
        <f t="shared" si="48"/>
        <v>0</v>
      </c>
      <c r="AM74" s="27">
        <f t="shared" si="48"/>
        <v>0</v>
      </c>
      <c r="AN74" s="27">
        <f t="shared" si="48"/>
        <v>0</v>
      </c>
      <c r="AO74" s="27">
        <f t="shared" si="48"/>
        <v>0</v>
      </c>
      <c r="AP74" s="4">
        <f t="shared" si="48"/>
        <v>-6000</v>
      </c>
      <c r="AQ74" s="28">
        <f t="shared" si="48"/>
        <v>0</v>
      </c>
      <c r="AR74" s="27">
        <f t="shared" si="48"/>
        <v>0</v>
      </c>
      <c r="AS74" s="27">
        <f t="shared" si="48"/>
        <v>0</v>
      </c>
      <c r="AT74" s="27">
        <f t="shared" si="48"/>
        <v>0</v>
      </c>
      <c r="AU74" s="27">
        <f t="shared" si="48"/>
        <v>0</v>
      </c>
      <c r="AV74" s="27">
        <f t="shared" si="48"/>
        <v>0</v>
      </c>
      <c r="AW74" s="27">
        <f t="shared" si="48"/>
        <v>0</v>
      </c>
      <c r="AX74" s="27">
        <f t="shared" si="48"/>
        <v>0</v>
      </c>
      <c r="AY74" s="27">
        <f t="shared" si="48"/>
        <v>0</v>
      </c>
      <c r="AZ74" s="27">
        <f t="shared" si="48"/>
        <v>0</v>
      </c>
      <c r="BA74" s="27">
        <f t="shared" si="48"/>
        <v>0</v>
      </c>
      <c r="BB74" s="27">
        <f t="shared" si="48"/>
        <v>0</v>
      </c>
      <c r="BC74" s="4">
        <f t="shared" si="48"/>
        <v>0</v>
      </c>
      <c r="BD74" s="27">
        <f t="shared" si="48"/>
        <v>0</v>
      </c>
      <c r="BE74" s="27">
        <f t="shared" si="48"/>
        <v>0</v>
      </c>
      <c r="BF74" s="27">
        <f t="shared" si="48"/>
        <v>0</v>
      </c>
      <c r="BG74" s="27">
        <f t="shared" si="48"/>
        <v>0</v>
      </c>
      <c r="BH74" s="27">
        <f t="shared" si="48"/>
        <v>0</v>
      </c>
      <c r="BI74" s="27">
        <f t="shared" si="48"/>
        <v>0</v>
      </c>
      <c r="BJ74" s="27">
        <f t="shared" si="48"/>
        <v>0</v>
      </c>
      <c r="BK74" s="27">
        <f t="shared" si="48"/>
        <v>0</v>
      </c>
      <c r="BL74" s="27">
        <f t="shared" si="48"/>
        <v>0</v>
      </c>
      <c r="BM74" s="27">
        <f t="shared" si="48"/>
        <v>0</v>
      </c>
      <c r="BN74" s="27">
        <f t="shared" si="48"/>
        <v>0</v>
      </c>
      <c r="BO74" s="27">
        <f t="shared" si="48"/>
        <v>0</v>
      </c>
      <c r="BP74" s="4">
        <f t="shared" si="48"/>
        <v>0</v>
      </c>
    </row>
    <row r="75" spans="1:68" customFormat="1" x14ac:dyDescent="0.25">
      <c r="A75" t="s">
        <v>44</v>
      </c>
      <c r="B75" s="2" t="s">
        <v>38</v>
      </c>
      <c r="D75" s="27">
        <f t="shared" ref="D75:AI75" si="49">D22</f>
        <v>0</v>
      </c>
      <c r="E75" s="27">
        <f t="shared" si="49"/>
        <v>8992.9500000000007</v>
      </c>
      <c r="F75" s="27">
        <f t="shared" si="49"/>
        <v>19608.330000000002</v>
      </c>
      <c r="G75" s="27">
        <f t="shared" si="49"/>
        <v>16746.39</v>
      </c>
      <c r="H75" s="27">
        <f t="shared" si="49"/>
        <v>5874.42</v>
      </c>
      <c r="I75" s="27">
        <f t="shared" si="49"/>
        <v>23362.05</v>
      </c>
      <c r="J75" s="27">
        <f t="shared" si="49"/>
        <v>9693.1200000000008</v>
      </c>
      <c r="K75" s="27">
        <f t="shared" si="49"/>
        <v>25175.4</v>
      </c>
      <c r="L75" s="27">
        <f t="shared" si="49"/>
        <v>13632.63</v>
      </c>
      <c r="M75" s="27">
        <f t="shared" si="49"/>
        <v>31791.06</v>
      </c>
      <c r="N75" s="27">
        <f t="shared" si="49"/>
        <v>26673.84</v>
      </c>
      <c r="O75" s="27">
        <f t="shared" si="49"/>
        <v>31413.42</v>
      </c>
      <c r="P75" s="4">
        <f t="shared" si="49"/>
        <v>212963.61</v>
      </c>
      <c r="Q75" s="27">
        <f t="shared" si="49"/>
        <v>11843.64</v>
      </c>
      <c r="R75" s="27">
        <f t="shared" si="49"/>
        <v>41841.54</v>
      </c>
      <c r="S75" s="27">
        <f t="shared" si="49"/>
        <v>16614.240000000002</v>
      </c>
      <c r="T75" s="27">
        <f t="shared" si="49"/>
        <v>35353.199999999997</v>
      </c>
      <c r="U75" s="27">
        <f t="shared" si="49"/>
        <v>26700.48</v>
      </c>
      <c r="V75" s="27">
        <f t="shared" si="49"/>
        <v>28303.41</v>
      </c>
      <c r="W75" s="27">
        <f t="shared" si="49"/>
        <v>23415.57</v>
      </c>
      <c r="X75" s="27">
        <f t="shared" si="49"/>
        <v>24358.89</v>
      </c>
      <c r="Y75" s="27">
        <f t="shared" si="49"/>
        <v>10332.66</v>
      </c>
      <c r="Z75" s="27">
        <f t="shared" si="49"/>
        <v>42557.85</v>
      </c>
      <c r="AA75" s="27">
        <f t="shared" si="49"/>
        <v>10303.200000000001</v>
      </c>
      <c r="AB75" s="27">
        <f t="shared" si="49"/>
        <v>30697.11</v>
      </c>
      <c r="AC75" s="4">
        <f t="shared" si="49"/>
        <v>302321.79000000004</v>
      </c>
      <c r="AD75" s="27">
        <f t="shared" si="49"/>
        <v>10588.635</v>
      </c>
      <c r="AE75" s="27">
        <f t="shared" si="49"/>
        <v>21943.62</v>
      </c>
      <c r="AF75" s="27">
        <f t="shared" si="49"/>
        <v>18487.650000000001</v>
      </c>
      <c r="AG75" s="27">
        <f t="shared" si="49"/>
        <v>39447.839999999997</v>
      </c>
      <c r="AH75" s="27">
        <f t="shared" si="49"/>
        <v>7074.39</v>
      </c>
      <c r="AI75" s="27">
        <f t="shared" si="49"/>
        <v>37768.47</v>
      </c>
      <c r="AJ75" s="27">
        <f t="shared" ref="AJ75:BP75" si="50">AJ22</f>
        <v>13107.09</v>
      </c>
      <c r="AK75" s="27">
        <f t="shared" si="50"/>
        <v>21795.87</v>
      </c>
      <c r="AL75" s="27">
        <f t="shared" si="50"/>
        <v>13077.63</v>
      </c>
      <c r="AM75" s="27">
        <f t="shared" si="50"/>
        <v>26905.08</v>
      </c>
      <c r="AN75" s="27">
        <f t="shared" si="50"/>
        <v>27601.5</v>
      </c>
      <c r="AO75" s="27">
        <f t="shared" si="50"/>
        <v>25735.65</v>
      </c>
      <c r="AP75" s="4">
        <f t="shared" si="50"/>
        <v>263533.42499999999</v>
      </c>
      <c r="AQ75" s="28">
        <f t="shared" si="50"/>
        <v>0</v>
      </c>
      <c r="AR75" s="27">
        <f t="shared" si="50"/>
        <v>0</v>
      </c>
      <c r="AS75" s="27">
        <f t="shared" si="50"/>
        <v>0</v>
      </c>
      <c r="AT75" s="27">
        <f t="shared" si="50"/>
        <v>0</v>
      </c>
      <c r="AU75" s="27">
        <f t="shared" si="50"/>
        <v>0</v>
      </c>
      <c r="AV75" s="27">
        <f t="shared" si="50"/>
        <v>0</v>
      </c>
      <c r="AW75" s="27">
        <f t="shared" si="50"/>
        <v>0</v>
      </c>
      <c r="AX75" s="27">
        <f t="shared" si="50"/>
        <v>0</v>
      </c>
      <c r="AY75" s="27">
        <f t="shared" si="50"/>
        <v>0</v>
      </c>
      <c r="AZ75" s="27">
        <f t="shared" si="50"/>
        <v>0</v>
      </c>
      <c r="BA75" s="27">
        <f t="shared" si="50"/>
        <v>0</v>
      </c>
      <c r="BB75" s="27">
        <f t="shared" si="50"/>
        <v>0</v>
      </c>
      <c r="BC75" s="4">
        <f t="shared" si="50"/>
        <v>0</v>
      </c>
      <c r="BD75" s="27">
        <f t="shared" si="50"/>
        <v>0</v>
      </c>
      <c r="BE75" s="27">
        <f t="shared" si="50"/>
        <v>0</v>
      </c>
      <c r="BF75" s="27">
        <f t="shared" si="50"/>
        <v>0</v>
      </c>
      <c r="BG75" s="27">
        <f t="shared" si="50"/>
        <v>0</v>
      </c>
      <c r="BH75" s="27">
        <f t="shared" si="50"/>
        <v>0</v>
      </c>
      <c r="BI75" s="27">
        <f t="shared" si="50"/>
        <v>0</v>
      </c>
      <c r="BJ75" s="27">
        <f t="shared" si="50"/>
        <v>0</v>
      </c>
      <c r="BK75" s="27">
        <f t="shared" si="50"/>
        <v>0</v>
      </c>
      <c r="BL75" s="27">
        <f t="shared" si="50"/>
        <v>0</v>
      </c>
      <c r="BM75" s="27">
        <f t="shared" si="50"/>
        <v>0</v>
      </c>
      <c r="BN75" s="27">
        <f t="shared" si="50"/>
        <v>0</v>
      </c>
      <c r="BO75" s="27">
        <f t="shared" si="50"/>
        <v>0</v>
      </c>
      <c r="BP75" s="4">
        <f t="shared" si="50"/>
        <v>0</v>
      </c>
    </row>
    <row r="76" spans="1:68" customFormat="1" x14ac:dyDescent="0.25">
      <c r="A76" t="s">
        <v>48</v>
      </c>
      <c r="B76" s="2" t="s">
        <v>45</v>
      </c>
      <c r="D76" s="27">
        <f t="shared" ref="D76:AI76" si="51">D26</f>
        <v>5001</v>
      </c>
      <c r="E76" s="27">
        <f t="shared" si="51"/>
        <v>122.5</v>
      </c>
      <c r="F76" s="27">
        <f t="shared" si="51"/>
        <v>111.67</v>
      </c>
      <c r="G76" s="27">
        <f t="shared" si="51"/>
        <v>39.17</v>
      </c>
      <c r="H76" s="27">
        <f t="shared" si="51"/>
        <v>28.33</v>
      </c>
      <c r="I76" s="27">
        <f t="shared" si="51"/>
        <v>79.17</v>
      </c>
      <c r="J76" s="27">
        <f t="shared" si="51"/>
        <v>40</v>
      </c>
      <c r="K76" s="27">
        <f t="shared" si="51"/>
        <v>112.5</v>
      </c>
      <c r="L76" s="27">
        <f t="shared" si="51"/>
        <v>61.67</v>
      </c>
      <c r="M76" s="27">
        <f t="shared" si="51"/>
        <v>72.5</v>
      </c>
      <c r="N76" s="27">
        <f t="shared" si="51"/>
        <v>79.17</v>
      </c>
      <c r="O76" s="27">
        <f t="shared" si="51"/>
        <v>104.17</v>
      </c>
      <c r="P76" s="4">
        <f t="shared" si="51"/>
        <v>5851.85</v>
      </c>
      <c r="Q76" s="27">
        <f t="shared" si="51"/>
        <v>92.5</v>
      </c>
      <c r="R76" s="27">
        <f t="shared" si="51"/>
        <v>30.83</v>
      </c>
      <c r="S76" s="27">
        <f t="shared" si="51"/>
        <v>123.33</v>
      </c>
      <c r="T76" s="27">
        <f t="shared" si="51"/>
        <v>60.83</v>
      </c>
      <c r="U76" s="27">
        <f t="shared" si="51"/>
        <v>50</v>
      </c>
      <c r="V76" s="27">
        <f t="shared" si="51"/>
        <v>65.83</v>
      </c>
      <c r="W76" s="27">
        <f t="shared" si="51"/>
        <v>107.5</v>
      </c>
      <c r="X76" s="27">
        <f t="shared" si="51"/>
        <v>95.83</v>
      </c>
      <c r="Y76" s="27">
        <f t="shared" si="51"/>
        <v>82.5</v>
      </c>
      <c r="Z76" s="27">
        <f t="shared" si="51"/>
        <v>57.5</v>
      </c>
      <c r="AA76" s="27">
        <f t="shared" si="51"/>
        <v>69.17</v>
      </c>
      <c r="AB76" s="27">
        <f t="shared" si="51"/>
        <v>33.33</v>
      </c>
      <c r="AC76" s="4">
        <f t="shared" si="51"/>
        <v>869.15</v>
      </c>
      <c r="AD76" s="27">
        <f t="shared" si="51"/>
        <v>38.33</v>
      </c>
      <c r="AE76" s="27">
        <f t="shared" si="51"/>
        <v>100.83</v>
      </c>
      <c r="AF76" s="27">
        <f t="shared" si="51"/>
        <v>118.33</v>
      </c>
      <c r="AG76" s="27">
        <f t="shared" si="51"/>
        <v>95.83</v>
      </c>
      <c r="AH76" s="27">
        <f t="shared" si="51"/>
        <v>54.17</v>
      </c>
      <c r="AI76" s="27">
        <f t="shared" si="51"/>
        <v>72.5</v>
      </c>
      <c r="AJ76" s="27">
        <f t="shared" ref="AJ76:BP76" si="52">AJ26</f>
        <v>31.67</v>
      </c>
      <c r="AK76" s="27">
        <f t="shared" si="52"/>
        <v>110.83</v>
      </c>
      <c r="AL76" s="27">
        <f t="shared" si="52"/>
        <v>95.83</v>
      </c>
      <c r="AM76" s="27">
        <f t="shared" si="52"/>
        <v>78.33</v>
      </c>
      <c r="AN76" s="27">
        <f t="shared" si="52"/>
        <v>76.67</v>
      </c>
      <c r="AO76" s="27">
        <f t="shared" si="52"/>
        <v>61.67</v>
      </c>
      <c r="AP76" s="4">
        <f t="shared" si="52"/>
        <v>934.99</v>
      </c>
      <c r="AQ76" s="28">
        <f t="shared" si="52"/>
        <v>0</v>
      </c>
      <c r="AR76" s="27">
        <f t="shared" si="52"/>
        <v>0</v>
      </c>
      <c r="AS76" s="27">
        <f t="shared" si="52"/>
        <v>0</v>
      </c>
      <c r="AT76" s="27">
        <f t="shared" si="52"/>
        <v>0</v>
      </c>
      <c r="AU76" s="27">
        <f t="shared" si="52"/>
        <v>0</v>
      </c>
      <c r="AV76" s="27">
        <f t="shared" si="52"/>
        <v>0</v>
      </c>
      <c r="AW76" s="27">
        <f t="shared" si="52"/>
        <v>0</v>
      </c>
      <c r="AX76" s="27">
        <f t="shared" si="52"/>
        <v>0</v>
      </c>
      <c r="AY76" s="27">
        <f t="shared" si="52"/>
        <v>0</v>
      </c>
      <c r="AZ76" s="27">
        <f t="shared" si="52"/>
        <v>0</v>
      </c>
      <c r="BA76" s="27">
        <f t="shared" si="52"/>
        <v>0</v>
      </c>
      <c r="BB76" s="27">
        <f t="shared" si="52"/>
        <v>0</v>
      </c>
      <c r="BC76" s="4">
        <f t="shared" si="52"/>
        <v>0</v>
      </c>
      <c r="BD76" s="27">
        <f t="shared" si="52"/>
        <v>0</v>
      </c>
      <c r="BE76" s="27">
        <f t="shared" si="52"/>
        <v>0</v>
      </c>
      <c r="BF76" s="27">
        <f t="shared" si="52"/>
        <v>0</v>
      </c>
      <c r="BG76" s="27">
        <f t="shared" si="52"/>
        <v>0</v>
      </c>
      <c r="BH76" s="27">
        <f t="shared" si="52"/>
        <v>0</v>
      </c>
      <c r="BI76" s="27">
        <f t="shared" si="52"/>
        <v>0</v>
      </c>
      <c r="BJ76" s="27">
        <f t="shared" si="52"/>
        <v>0</v>
      </c>
      <c r="BK76" s="27">
        <f t="shared" si="52"/>
        <v>0</v>
      </c>
      <c r="BL76" s="27">
        <f t="shared" si="52"/>
        <v>0</v>
      </c>
      <c r="BM76" s="27">
        <f t="shared" si="52"/>
        <v>0</v>
      </c>
      <c r="BN76" s="27">
        <f t="shared" si="52"/>
        <v>0</v>
      </c>
      <c r="BO76" s="27">
        <f t="shared" si="52"/>
        <v>0</v>
      </c>
      <c r="BP76" s="4">
        <f t="shared" si="52"/>
        <v>0</v>
      </c>
    </row>
    <row r="77" spans="1:68" customFormat="1" x14ac:dyDescent="0.25">
      <c r="A77" t="s">
        <v>61</v>
      </c>
      <c r="B77" s="2" t="s">
        <v>49</v>
      </c>
      <c r="D77" s="27">
        <f t="shared" ref="D77:AI77" si="53">D35</f>
        <v>0</v>
      </c>
      <c r="E77" s="27">
        <f t="shared" si="53"/>
        <v>-4941.2196000000004</v>
      </c>
      <c r="F77" s="27">
        <f t="shared" si="53"/>
        <v>-3078.0001200000002</v>
      </c>
      <c r="G77" s="27">
        <f t="shared" si="53"/>
        <v>-3424.8131600000002</v>
      </c>
      <c r="H77" s="27">
        <f t="shared" si="53"/>
        <v>-1058.51368</v>
      </c>
      <c r="I77" s="27">
        <f t="shared" si="53"/>
        <v>-5309.4542000000001</v>
      </c>
      <c r="J77" s="27">
        <f t="shared" si="53"/>
        <v>-1814.8212799999999</v>
      </c>
      <c r="K77" s="27">
        <f t="shared" si="53"/>
        <v>-5988.4116000000004</v>
      </c>
      <c r="L77" s="27">
        <f t="shared" si="53"/>
        <v>-1248.9721199999999</v>
      </c>
      <c r="M77" s="27">
        <f t="shared" si="53"/>
        <v>-6764.7426400000004</v>
      </c>
      <c r="N77" s="27">
        <f t="shared" si="53"/>
        <v>-7389.2189600000002</v>
      </c>
      <c r="O77" s="27">
        <f t="shared" si="53"/>
        <v>-6556.1304799999998</v>
      </c>
      <c r="P77" s="4">
        <f t="shared" si="53"/>
        <v>-47574.297839999999</v>
      </c>
      <c r="Q77" s="27">
        <f t="shared" si="53"/>
        <v>-2186.11832</v>
      </c>
      <c r="R77" s="27">
        <f t="shared" si="53"/>
        <v>-8722.9057599999996</v>
      </c>
      <c r="S77" s="27">
        <f t="shared" si="53"/>
        <v>-1925.93896</v>
      </c>
      <c r="T77" s="27">
        <f t="shared" si="53"/>
        <v>-7470.5508</v>
      </c>
      <c r="U77" s="27">
        <f t="shared" si="53"/>
        <v>-6483.9383200000002</v>
      </c>
      <c r="V77" s="27">
        <f t="shared" si="53"/>
        <v>-1930.87004</v>
      </c>
      <c r="W77" s="27">
        <f t="shared" si="53"/>
        <v>-3569.6218800000001</v>
      </c>
      <c r="X77" s="27">
        <f t="shared" si="53"/>
        <v>-6480.0271599999996</v>
      </c>
      <c r="Y77" s="27">
        <f t="shared" si="53"/>
        <v>-934.08744000000002</v>
      </c>
      <c r="Z77" s="27">
        <f t="shared" si="53"/>
        <v>-7660.7893999999997</v>
      </c>
      <c r="AA77" s="27">
        <f t="shared" si="53"/>
        <v>-1790.8607999999999</v>
      </c>
      <c r="AB77" s="27">
        <f t="shared" si="53"/>
        <v>-6135.5168400000002</v>
      </c>
      <c r="AC77" s="4">
        <f t="shared" si="53"/>
        <v>-55291.225720000002</v>
      </c>
      <c r="AD77" s="27">
        <f t="shared" si="53"/>
        <v>-8175.58788</v>
      </c>
      <c r="AE77" s="27">
        <f t="shared" si="53"/>
        <v>-466.33927999999997</v>
      </c>
      <c r="AF77" s="27">
        <f t="shared" si="53"/>
        <v>-2973.5293999999999</v>
      </c>
      <c r="AG77" s="27">
        <f t="shared" si="53"/>
        <v>-8106.1789600000002</v>
      </c>
      <c r="AH77" s="27">
        <f t="shared" si="53"/>
        <v>-5137.4703600000003</v>
      </c>
      <c r="AI77" s="27">
        <f t="shared" si="53"/>
        <v>-2498.6486799999998</v>
      </c>
      <c r="AJ77" s="27">
        <f t="shared" ref="AJ77:BP77" si="54">AJ35</f>
        <v>-2208.6407599999998</v>
      </c>
      <c r="AK77" s="27">
        <f t="shared" si="54"/>
        <v>-4859.4622799999997</v>
      </c>
      <c r="AL77" s="27">
        <f t="shared" si="54"/>
        <v>-2204.5541199999998</v>
      </c>
      <c r="AM77" s="27">
        <f t="shared" si="54"/>
        <v>-6395.3635199999999</v>
      </c>
      <c r="AN77" s="27">
        <f t="shared" si="54"/>
        <v>-3332.0012000000002</v>
      </c>
      <c r="AO77" s="27">
        <f t="shared" si="54"/>
        <v>-14317.0926</v>
      </c>
      <c r="AP77" s="4">
        <f t="shared" si="54"/>
        <v>-60674.86903999999</v>
      </c>
      <c r="AQ77" s="28">
        <f t="shared" si="54"/>
        <v>0</v>
      </c>
      <c r="AR77" s="27">
        <f t="shared" si="54"/>
        <v>0</v>
      </c>
      <c r="AS77" s="27">
        <f t="shared" si="54"/>
        <v>0</v>
      </c>
      <c r="AT77" s="27">
        <f t="shared" si="54"/>
        <v>0</v>
      </c>
      <c r="AU77" s="27">
        <f t="shared" si="54"/>
        <v>0</v>
      </c>
      <c r="AV77" s="27">
        <f t="shared" si="54"/>
        <v>0</v>
      </c>
      <c r="AW77" s="27">
        <f t="shared" si="54"/>
        <v>0</v>
      </c>
      <c r="AX77" s="27">
        <f t="shared" si="54"/>
        <v>0</v>
      </c>
      <c r="AY77" s="27">
        <f t="shared" si="54"/>
        <v>0</v>
      </c>
      <c r="AZ77" s="27">
        <f t="shared" si="54"/>
        <v>0</v>
      </c>
      <c r="BA77" s="27">
        <f t="shared" si="54"/>
        <v>0</v>
      </c>
      <c r="BB77" s="27">
        <f t="shared" si="54"/>
        <v>0</v>
      </c>
      <c r="BC77" s="4">
        <f t="shared" si="54"/>
        <v>0</v>
      </c>
      <c r="BD77" s="27">
        <f t="shared" si="54"/>
        <v>0</v>
      </c>
      <c r="BE77" s="27">
        <f t="shared" si="54"/>
        <v>0</v>
      </c>
      <c r="BF77" s="27">
        <f t="shared" si="54"/>
        <v>0</v>
      </c>
      <c r="BG77" s="27">
        <f t="shared" si="54"/>
        <v>0</v>
      </c>
      <c r="BH77" s="27">
        <f t="shared" si="54"/>
        <v>0</v>
      </c>
      <c r="BI77" s="27">
        <f t="shared" si="54"/>
        <v>0</v>
      </c>
      <c r="BJ77" s="27">
        <f t="shared" si="54"/>
        <v>0</v>
      </c>
      <c r="BK77" s="27">
        <f t="shared" si="54"/>
        <v>0</v>
      </c>
      <c r="BL77" s="27">
        <f t="shared" si="54"/>
        <v>0</v>
      </c>
      <c r="BM77" s="27">
        <f t="shared" si="54"/>
        <v>0</v>
      </c>
      <c r="BN77" s="27">
        <f t="shared" si="54"/>
        <v>0</v>
      </c>
      <c r="BO77" s="27">
        <f t="shared" si="54"/>
        <v>0</v>
      </c>
      <c r="BP77" s="4">
        <f t="shared" si="54"/>
        <v>0</v>
      </c>
    </row>
    <row r="78" spans="1:68" customFormat="1" x14ac:dyDescent="0.25">
      <c r="A78" t="s">
        <v>70</v>
      </c>
      <c r="B78" s="2" t="s">
        <v>62</v>
      </c>
      <c r="D78" s="27">
        <f t="shared" ref="D78:AI78" si="55">D42</f>
        <v>0</v>
      </c>
      <c r="E78" s="27">
        <f t="shared" si="55"/>
        <v>-2547.6</v>
      </c>
      <c r="F78" s="27">
        <f t="shared" si="55"/>
        <v>-2508</v>
      </c>
      <c r="G78" s="27">
        <f t="shared" si="55"/>
        <v>-2466.1999999999998</v>
      </c>
      <c r="H78" s="27">
        <f t="shared" si="55"/>
        <v>-2461.8000000000002</v>
      </c>
      <c r="I78" s="27">
        <f t="shared" si="55"/>
        <v>-2697.2</v>
      </c>
      <c r="J78" s="27">
        <f t="shared" si="55"/>
        <v>-2655.4</v>
      </c>
      <c r="K78" s="27">
        <f t="shared" si="55"/>
        <v>-2578.4</v>
      </c>
      <c r="L78" s="27">
        <f t="shared" si="55"/>
        <v>-2813.8</v>
      </c>
      <c r="M78" s="27">
        <f t="shared" si="55"/>
        <v>-2774.2</v>
      </c>
      <c r="N78" s="27">
        <f t="shared" si="55"/>
        <v>-2659.8</v>
      </c>
      <c r="O78" s="27">
        <f t="shared" si="55"/>
        <v>-2615.8000000000002</v>
      </c>
      <c r="P78" s="4">
        <f t="shared" si="55"/>
        <v>-28778.2</v>
      </c>
      <c r="Q78" s="27">
        <f t="shared" si="55"/>
        <v>-2563</v>
      </c>
      <c r="R78" s="27">
        <f t="shared" si="55"/>
        <v>-2723.6</v>
      </c>
      <c r="S78" s="27">
        <f t="shared" si="55"/>
        <v>-2767.6</v>
      </c>
      <c r="T78" s="27">
        <f t="shared" si="55"/>
        <v>-2602.6</v>
      </c>
      <c r="U78" s="27">
        <f t="shared" si="55"/>
        <v>-2624.6</v>
      </c>
      <c r="V78" s="27">
        <f t="shared" si="55"/>
        <v>-2499.1999999999998</v>
      </c>
      <c r="W78" s="27">
        <f t="shared" si="55"/>
        <v>-2664.2</v>
      </c>
      <c r="X78" s="27">
        <f t="shared" si="55"/>
        <v>-2717</v>
      </c>
      <c r="Y78" s="27">
        <f t="shared" si="55"/>
        <v>-2633.4</v>
      </c>
      <c r="Z78" s="27">
        <f t="shared" si="55"/>
        <v>-2589.4</v>
      </c>
      <c r="AA78" s="27">
        <f t="shared" si="55"/>
        <v>-2536.6</v>
      </c>
      <c r="AB78" s="27">
        <f t="shared" si="55"/>
        <v>-2422.1999999999998</v>
      </c>
      <c r="AC78" s="4">
        <f t="shared" si="55"/>
        <v>-31343.4</v>
      </c>
      <c r="AD78" s="27">
        <f t="shared" si="55"/>
        <v>-2466.1999999999998</v>
      </c>
      <c r="AE78" s="27">
        <f t="shared" si="55"/>
        <v>-2576.1999999999998</v>
      </c>
      <c r="AF78" s="27">
        <f t="shared" si="55"/>
        <v>-2598.1999999999998</v>
      </c>
      <c r="AG78" s="27">
        <f t="shared" si="55"/>
        <v>-2800.6</v>
      </c>
      <c r="AH78" s="27">
        <f t="shared" si="55"/>
        <v>-2690.6</v>
      </c>
      <c r="AI78" s="27">
        <f t="shared" si="55"/>
        <v>-2743.4</v>
      </c>
      <c r="AJ78" s="27">
        <f t="shared" ref="AJ78:BP78" si="56">AJ42</f>
        <v>-2827</v>
      </c>
      <c r="AK78" s="27">
        <f t="shared" si="56"/>
        <v>-2783</v>
      </c>
      <c r="AL78" s="27">
        <f t="shared" si="56"/>
        <v>-2730.2</v>
      </c>
      <c r="AM78" s="27">
        <f t="shared" si="56"/>
        <v>-2615.8000000000002</v>
      </c>
      <c r="AN78" s="27">
        <f t="shared" si="56"/>
        <v>-2659.8</v>
      </c>
      <c r="AO78" s="27">
        <f t="shared" si="56"/>
        <v>-2769.8</v>
      </c>
      <c r="AP78" s="4">
        <f t="shared" si="56"/>
        <v>-32260.799999999999</v>
      </c>
      <c r="AQ78" s="28">
        <f t="shared" si="56"/>
        <v>0</v>
      </c>
      <c r="AR78" s="27">
        <f t="shared" si="56"/>
        <v>0</v>
      </c>
      <c r="AS78" s="27">
        <f t="shared" si="56"/>
        <v>0</v>
      </c>
      <c r="AT78" s="27">
        <f t="shared" si="56"/>
        <v>0</v>
      </c>
      <c r="AU78" s="27">
        <f t="shared" si="56"/>
        <v>0</v>
      </c>
      <c r="AV78" s="27">
        <f t="shared" si="56"/>
        <v>0</v>
      </c>
      <c r="AW78" s="27">
        <f t="shared" si="56"/>
        <v>0</v>
      </c>
      <c r="AX78" s="27">
        <f t="shared" si="56"/>
        <v>0</v>
      </c>
      <c r="AY78" s="27">
        <f t="shared" si="56"/>
        <v>0</v>
      </c>
      <c r="AZ78" s="27">
        <f t="shared" si="56"/>
        <v>0</v>
      </c>
      <c r="BA78" s="27">
        <f t="shared" si="56"/>
        <v>0</v>
      </c>
      <c r="BB78" s="27">
        <f t="shared" si="56"/>
        <v>0</v>
      </c>
      <c r="BC78" s="4">
        <f t="shared" si="56"/>
        <v>0</v>
      </c>
      <c r="BD78" s="27">
        <f t="shared" si="56"/>
        <v>0</v>
      </c>
      <c r="BE78" s="27">
        <f t="shared" si="56"/>
        <v>0</v>
      </c>
      <c r="BF78" s="27">
        <f t="shared" si="56"/>
        <v>0</v>
      </c>
      <c r="BG78" s="27">
        <f t="shared" si="56"/>
        <v>0</v>
      </c>
      <c r="BH78" s="27">
        <f t="shared" si="56"/>
        <v>0</v>
      </c>
      <c r="BI78" s="27">
        <f t="shared" si="56"/>
        <v>0</v>
      </c>
      <c r="BJ78" s="27">
        <f t="shared" si="56"/>
        <v>0</v>
      </c>
      <c r="BK78" s="27">
        <f t="shared" si="56"/>
        <v>0</v>
      </c>
      <c r="BL78" s="27">
        <f t="shared" si="56"/>
        <v>0</v>
      </c>
      <c r="BM78" s="27">
        <f t="shared" si="56"/>
        <v>0</v>
      </c>
      <c r="BN78" s="27">
        <f t="shared" si="56"/>
        <v>0</v>
      </c>
      <c r="BO78" s="27">
        <f t="shared" si="56"/>
        <v>0</v>
      </c>
      <c r="BP78" s="4">
        <f t="shared" si="56"/>
        <v>0</v>
      </c>
    </row>
    <row r="79" spans="1:68" customFormat="1" x14ac:dyDescent="0.25">
      <c r="A79" t="s">
        <v>87</v>
      </c>
      <c r="B79" s="2" t="s">
        <v>71</v>
      </c>
      <c r="D79" s="27">
        <f t="shared" ref="D79:AI79" si="57">D53</f>
        <v>0</v>
      </c>
      <c r="E79" s="27">
        <f t="shared" si="57"/>
        <v>-322.5</v>
      </c>
      <c r="F79" s="27">
        <f t="shared" si="57"/>
        <v>-235.17000000000002</v>
      </c>
      <c r="G79" s="27">
        <f t="shared" si="57"/>
        <v>-703.34</v>
      </c>
      <c r="H79" s="27">
        <f t="shared" si="57"/>
        <v>-280.16999999999996</v>
      </c>
      <c r="I79" s="27">
        <f t="shared" si="57"/>
        <v>-192.82999999999998</v>
      </c>
      <c r="J79" s="27">
        <f t="shared" si="57"/>
        <v>-410.33</v>
      </c>
      <c r="K79" s="27">
        <f t="shared" si="57"/>
        <v>-142.5</v>
      </c>
      <c r="L79" s="27">
        <f t="shared" si="57"/>
        <v>-240.17000000000002</v>
      </c>
      <c r="M79" s="27">
        <f t="shared" si="57"/>
        <v>-757</v>
      </c>
      <c r="N79" s="27">
        <f t="shared" si="57"/>
        <v>-150.17000000000002</v>
      </c>
      <c r="O79" s="27">
        <f t="shared" si="57"/>
        <v>-132.5</v>
      </c>
      <c r="P79" s="4">
        <f t="shared" si="57"/>
        <v>-3566.6800000000003</v>
      </c>
      <c r="Q79" s="27">
        <f t="shared" si="57"/>
        <v>-975.84</v>
      </c>
      <c r="R79" s="27">
        <f t="shared" si="57"/>
        <v>-127</v>
      </c>
      <c r="S79" s="27">
        <f t="shared" si="57"/>
        <v>-162</v>
      </c>
      <c r="T79" s="27">
        <f t="shared" si="57"/>
        <v>-790.84</v>
      </c>
      <c r="U79" s="27">
        <f t="shared" si="57"/>
        <v>-224.17000000000002</v>
      </c>
      <c r="V79" s="27">
        <f t="shared" si="57"/>
        <v>-278</v>
      </c>
      <c r="W79" s="27">
        <f t="shared" si="57"/>
        <v>-600.5</v>
      </c>
      <c r="X79" s="27">
        <f t="shared" si="57"/>
        <v>-160</v>
      </c>
      <c r="Y79" s="27">
        <f t="shared" si="57"/>
        <v>-236.17000000000002</v>
      </c>
      <c r="Z79" s="27">
        <f t="shared" si="57"/>
        <v>-772.83</v>
      </c>
      <c r="AA79" s="27">
        <f t="shared" si="57"/>
        <v>-215.17000000000002</v>
      </c>
      <c r="AB79" s="27">
        <f t="shared" si="57"/>
        <v>-155</v>
      </c>
      <c r="AC79" s="4">
        <f t="shared" si="57"/>
        <v>-4697.5200000000004</v>
      </c>
      <c r="AD79" s="27">
        <f t="shared" si="57"/>
        <v>-978.83</v>
      </c>
      <c r="AE79" s="27">
        <f t="shared" si="57"/>
        <v>-274.66999999999996</v>
      </c>
      <c r="AF79" s="27">
        <f t="shared" si="57"/>
        <v>-171.82999999999998</v>
      </c>
      <c r="AG79" s="27">
        <f t="shared" si="57"/>
        <v>-549.16</v>
      </c>
      <c r="AH79" s="27">
        <f t="shared" si="57"/>
        <v>-168.67000000000002</v>
      </c>
      <c r="AI79" s="27">
        <f t="shared" si="57"/>
        <v>-108</v>
      </c>
      <c r="AJ79" s="27">
        <f t="shared" ref="AJ79:BP79" si="58">AJ53</f>
        <v>-643.16</v>
      </c>
      <c r="AK79" s="27">
        <f t="shared" si="58"/>
        <v>-120</v>
      </c>
      <c r="AL79" s="27">
        <f t="shared" si="58"/>
        <v>-208</v>
      </c>
      <c r="AM79" s="27">
        <f t="shared" si="58"/>
        <v>-659.17</v>
      </c>
      <c r="AN79" s="27">
        <f t="shared" si="58"/>
        <v>-200.82999999999998</v>
      </c>
      <c r="AO79" s="27">
        <f t="shared" si="58"/>
        <v>-52.5</v>
      </c>
      <c r="AP79" s="4">
        <f t="shared" si="58"/>
        <v>-4134.82</v>
      </c>
      <c r="AQ79" s="28">
        <f t="shared" si="58"/>
        <v>0</v>
      </c>
      <c r="AR79" s="27">
        <f t="shared" si="58"/>
        <v>0</v>
      </c>
      <c r="AS79" s="27">
        <f t="shared" si="58"/>
        <v>0</v>
      </c>
      <c r="AT79" s="27">
        <f t="shared" si="58"/>
        <v>0</v>
      </c>
      <c r="AU79" s="27">
        <f t="shared" si="58"/>
        <v>0</v>
      </c>
      <c r="AV79" s="27">
        <f t="shared" si="58"/>
        <v>0</v>
      </c>
      <c r="AW79" s="27">
        <f t="shared" si="58"/>
        <v>0</v>
      </c>
      <c r="AX79" s="27">
        <f t="shared" si="58"/>
        <v>0</v>
      </c>
      <c r="AY79" s="27">
        <f t="shared" si="58"/>
        <v>0</v>
      </c>
      <c r="AZ79" s="27">
        <f t="shared" si="58"/>
        <v>0</v>
      </c>
      <c r="BA79" s="27">
        <f t="shared" si="58"/>
        <v>0</v>
      </c>
      <c r="BB79" s="27">
        <f t="shared" si="58"/>
        <v>0</v>
      </c>
      <c r="BC79" s="4">
        <f t="shared" si="58"/>
        <v>0</v>
      </c>
      <c r="BD79" s="27">
        <f t="shared" si="58"/>
        <v>0</v>
      </c>
      <c r="BE79" s="27">
        <f t="shared" si="58"/>
        <v>0</v>
      </c>
      <c r="BF79" s="27">
        <f t="shared" si="58"/>
        <v>0</v>
      </c>
      <c r="BG79" s="27">
        <f t="shared" si="58"/>
        <v>0</v>
      </c>
      <c r="BH79" s="27">
        <f t="shared" si="58"/>
        <v>0</v>
      </c>
      <c r="BI79" s="27">
        <f t="shared" si="58"/>
        <v>0</v>
      </c>
      <c r="BJ79" s="27">
        <f t="shared" si="58"/>
        <v>0</v>
      </c>
      <c r="BK79" s="27">
        <f t="shared" si="58"/>
        <v>0</v>
      </c>
      <c r="BL79" s="27">
        <f t="shared" si="58"/>
        <v>0</v>
      </c>
      <c r="BM79" s="27">
        <f t="shared" si="58"/>
        <v>0</v>
      </c>
      <c r="BN79" s="27">
        <f t="shared" si="58"/>
        <v>0</v>
      </c>
      <c r="BO79" s="27">
        <f t="shared" si="58"/>
        <v>0</v>
      </c>
      <c r="BP79" s="4">
        <f t="shared" si="58"/>
        <v>0</v>
      </c>
    </row>
    <row r="80" spans="1:68" customFormat="1" x14ac:dyDescent="0.25">
      <c r="A80" t="s">
        <v>95</v>
      </c>
      <c r="B80" s="2" t="s">
        <v>88</v>
      </c>
      <c r="D80" s="27">
        <f t="shared" ref="D80:AI80" si="59">D59</f>
        <v>0</v>
      </c>
      <c r="E80" s="27">
        <f t="shared" si="59"/>
        <v>0</v>
      </c>
      <c r="F80" s="27">
        <f t="shared" si="59"/>
        <v>0</v>
      </c>
      <c r="G80" s="27">
        <f t="shared" si="59"/>
        <v>0</v>
      </c>
      <c r="H80" s="27">
        <f t="shared" si="59"/>
        <v>0</v>
      </c>
      <c r="I80" s="27">
        <f t="shared" si="59"/>
        <v>0</v>
      </c>
      <c r="J80" s="27">
        <f t="shared" si="59"/>
        <v>0</v>
      </c>
      <c r="K80" s="27">
        <f t="shared" si="59"/>
        <v>0</v>
      </c>
      <c r="L80" s="27">
        <f t="shared" si="59"/>
        <v>0</v>
      </c>
      <c r="M80" s="27">
        <f t="shared" si="59"/>
        <v>0</v>
      </c>
      <c r="N80" s="27">
        <f t="shared" si="59"/>
        <v>0</v>
      </c>
      <c r="O80" s="27">
        <f t="shared" si="59"/>
        <v>4000</v>
      </c>
      <c r="P80" s="4">
        <f t="shared" si="59"/>
        <v>4000</v>
      </c>
      <c r="Q80" s="27">
        <f t="shared" si="59"/>
        <v>0</v>
      </c>
      <c r="R80" s="27">
        <f t="shared" si="59"/>
        <v>0</v>
      </c>
      <c r="S80" s="27">
        <f t="shared" si="59"/>
        <v>0</v>
      </c>
      <c r="T80" s="27">
        <f t="shared" si="59"/>
        <v>0</v>
      </c>
      <c r="U80" s="27">
        <f t="shared" si="59"/>
        <v>0</v>
      </c>
      <c r="V80" s="27">
        <f t="shared" si="59"/>
        <v>0</v>
      </c>
      <c r="W80" s="27">
        <f t="shared" si="59"/>
        <v>0</v>
      </c>
      <c r="X80" s="27">
        <f t="shared" si="59"/>
        <v>0</v>
      </c>
      <c r="Y80" s="27">
        <f t="shared" si="59"/>
        <v>0</v>
      </c>
      <c r="Z80" s="27">
        <f t="shared" si="59"/>
        <v>0</v>
      </c>
      <c r="AA80" s="27">
        <f t="shared" si="59"/>
        <v>0</v>
      </c>
      <c r="AB80" s="27">
        <f t="shared" si="59"/>
        <v>-1000</v>
      </c>
      <c r="AC80" s="4">
        <f t="shared" si="59"/>
        <v>-1000</v>
      </c>
      <c r="AD80" s="27">
        <f t="shared" si="59"/>
        <v>0</v>
      </c>
      <c r="AE80" s="27">
        <f t="shared" si="59"/>
        <v>0</v>
      </c>
      <c r="AF80" s="27">
        <f t="shared" si="59"/>
        <v>0</v>
      </c>
      <c r="AG80" s="27">
        <f t="shared" si="59"/>
        <v>0</v>
      </c>
      <c r="AH80" s="27">
        <f t="shared" si="59"/>
        <v>0</v>
      </c>
      <c r="AI80" s="27">
        <f t="shared" si="59"/>
        <v>0</v>
      </c>
      <c r="AJ80" s="27">
        <f t="shared" ref="AJ80:BP80" si="60">AJ59</f>
        <v>6000</v>
      </c>
      <c r="AK80" s="27">
        <f t="shared" si="60"/>
        <v>0</v>
      </c>
      <c r="AL80" s="27">
        <f t="shared" si="60"/>
        <v>0</v>
      </c>
      <c r="AM80" s="27">
        <f t="shared" si="60"/>
        <v>0</v>
      </c>
      <c r="AN80" s="27">
        <f t="shared" si="60"/>
        <v>0</v>
      </c>
      <c r="AO80" s="27">
        <f t="shared" si="60"/>
        <v>-2200</v>
      </c>
      <c r="AP80" s="4">
        <f t="shared" si="60"/>
        <v>3800</v>
      </c>
      <c r="AQ80" s="28">
        <f t="shared" si="60"/>
        <v>0</v>
      </c>
      <c r="AR80" s="27">
        <f t="shared" si="60"/>
        <v>0</v>
      </c>
      <c r="AS80" s="27">
        <f t="shared" si="60"/>
        <v>0</v>
      </c>
      <c r="AT80" s="27">
        <f t="shared" si="60"/>
        <v>0</v>
      </c>
      <c r="AU80" s="27">
        <f t="shared" si="60"/>
        <v>0</v>
      </c>
      <c r="AV80" s="27">
        <f t="shared" si="60"/>
        <v>0</v>
      </c>
      <c r="AW80" s="27">
        <f t="shared" si="60"/>
        <v>0</v>
      </c>
      <c r="AX80" s="27">
        <f t="shared" si="60"/>
        <v>0</v>
      </c>
      <c r="AY80" s="27">
        <f t="shared" si="60"/>
        <v>0</v>
      </c>
      <c r="AZ80" s="27">
        <f t="shared" si="60"/>
        <v>0</v>
      </c>
      <c r="BA80" s="27">
        <f t="shared" si="60"/>
        <v>0</v>
      </c>
      <c r="BB80" s="27">
        <f t="shared" si="60"/>
        <v>0</v>
      </c>
      <c r="BC80" s="4">
        <f t="shared" si="60"/>
        <v>0</v>
      </c>
      <c r="BD80" s="27">
        <f t="shared" si="60"/>
        <v>0</v>
      </c>
      <c r="BE80" s="27">
        <f t="shared" si="60"/>
        <v>0</v>
      </c>
      <c r="BF80" s="27">
        <f t="shared" si="60"/>
        <v>0</v>
      </c>
      <c r="BG80" s="27">
        <f t="shared" si="60"/>
        <v>0</v>
      </c>
      <c r="BH80" s="27">
        <f t="shared" si="60"/>
        <v>0</v>
      </c>
      <c r="BI80" s="27">
        <f t="shared" si="60"/>
        <v>0</v>
      </c>
      <c r="BJ80" s="27">
        <f t="shared" si="60"/>
        <v>0</v>
      </c>
      <c r="BK80" s="27">
        <f t="shared" si="60"/>
        <v>0</v>
      </c>
      <c r="BL80" s="27">
        <f t="shared" si="60"/>
        <v>0</v>
      </c>
      <c r="BM80" s="27">
        <f t="shared" si="60"/>
        <v>0</v>
      </c>
      <c r="BN80" s="27">
        <f t="shared" si="60"/>
        <v>0</v>
      </c>
      <c r="BO80" s="27">
        <f t="shared" si="60"/>
        <v>0</v>
      </c>
      <c r="BP80" s="4">
        <f t="shared" si="60"/>
        <v>0</v>
      </c>
    </row>
    <row r="81" spans="1:68" customFormat="1" x14ac:dyDescent="0.25">
      <c r="A81" t="s">
        <v>98</v>
      </c>
      <c r="B81" s="2" t="s">
        <v>96</v>
      </c>
      <c r="D81" s="27">
        <f t="shared" ref="D81:AI81" si="61">D63</f>
        <v>0</v>
      </c>
      <c r="E81" s="27">
        <f t="shared" si="61"/>
        <v>0</v>
      </c>
      <c r="F81" s="27">
        <f t="shared" si="61"/>
        <v>0</v>
      </c>
      <c r="G81" s="27">
        <f t="shared" si="61"/>
        <v>0</v>
      </c>
      <c r="H81" s="27">
        <f t="shared" si="61"/>
        <v>0</v>
      </c>
      <c r="I81" s="27">
        <f t="shared" si="61"/>
        <v>0</v>
      </c>
      <c r="J81" s="27">
        <f t="shared" si="61"/>
        <v>0</v>
      </c>
      <c r="K81" s="27">
        <f t="shared" si="61"/>
        <v>0</v>
      </c>
      <c r="L81" s="27">
        <f t="shared" si="61"/>
        <v>0</v>
      </c>
      <c r="M81" s="27">
        <f t="shared" si="61"/>
        <v>0</v>
      </c>
      <c r="N81" s="27">
        <f t="shared" si="61"/>
        <v>0</v>
      </c>
      <c r="O81" s="27">
        <f t="shared" si="61"/>
        <v>0</v>
      </c>
      <c r="P81" s="4">
        <f t="shared" si="61"/>
        <v>0</v>
      </c>
      <c r="Q81" s="27">
        <f t="shared" si="61"/>
        <v>0</v>
      </c>
      <c r="R81" s="27">
        <f t="shared" si="61"/>
        <v>0</v>
      </c>
      <c r="S81" s="27">
        <f t="shared" si="61"/>
        <v>0</v>
      </c>
      <c r="T81" s="27">
        <f t="shared" si="61"/>
        <v>0</v>
      </c>
      <c r="U81" s="27">
        <f t="shared" si="61"/>
        <v>0</v>
      </c>
      <c r="V81" s="27">
        <f t="shared" si="61"/>
        <v>0</v>
      </c>
      <c r="W81" s="27">
        <f t="shared" si="61"/>
        <v>0</v>
      </c>
      <c r="X81" s="27">
        <f t="shared" si="61"/>
        <v>0</v>
      </c>
      <c r="Y81" s="27">
        <f t="shared" si="61"/>
        <v>0</v>
      </c>
      <c r="Z81" s="27">
        <f t="shared" si="61"/>
        <v>0</v>
      </c>
      <c r="AA81" s="27">
        <f t="shared" si="61"/>
        <v>0</v>
      </c>
      <c r="AB81" s="27">
        <f t="shared" si="61"/>
        <v>0</v>
      </c>
      <c r="AC81" s="4">
        <f t="shared" si="61"/>
        <v>0</v>
      </c>
      <c r="AD81" s="27">
        <f t="shared" si="61"/>
        <v>0</v>
      </c>
      <c r="AE81" s="27">
        <f t="shared" si="61"/>
        <v>0</v>
      </c>
      <c r="AF81" s="27">
        <f t="shared" si="61"/>
        <v>0</v>
      </c>
      <c r="AG81" s="27">
        <f t="shared" si="61"/>
        <v>0</v>
      </c>
      <c r="AH81" s="27">
        <f t="shared" si="61"/>
        <v>0</v>
      </c>
      <c r="AI81" s="27">
        <f t="shared" si="61"/>
        <v>0</v>
      </c>
      <c r="AJ81" s="27">
        <f t="shared" ref="AJ81:BP81" si="62">AJ63</f>
        <v>0</v>
      </c>
      <c r="AK81" s="27">
        <f t="shared" si="62"/>
        <v>0</v>
      </c>
      <c r="AL81" s="27">
        <f t="shared" si="62"/>
        <v>0</v>
      </c>
      <c r="AM81" s="27">
        <f t="shared" si="62"/>
        <v>0</v>
      </c>
      <c r="AN81" s="27">
        <f t="shared" si="62"/>
        <v>0</v>
      </c>
      <c r="AO81" s="27">
        <f t="shared" si="62"/>
        <v>0</v>
      </c>
      <c r="AP81" s="4">
        <f t="shared" si="62"/>
        <v>0</v>
      </c>
      <c r="AQ81" s="28">
        <f t="shared" si="62"/>
        <v>0</v>
      </c>
      <c r="AR81" s="27">
        <f t="shared" si="62"/>
        <v>0</v>
      </c>
      <c r="AS81" s="27">
        <f t="shared" si="62"/>
        <v>0</v>
      </c>
      <c r="AT81" s="27">
        <f t="shared" si="62"/>
        <v>0</v>
      </c>
      <c r="AU81" s="27">
        <f t="shared" si="62"/>
        <v>0</v>
      </c>
      <c r="AV81" s="27">
        <f t="shared" si="62"/>
        <v>0</v>
      </c>
      <c r="AW81" s="27">
        <f t="shared" si="62"/>
        <v>0</v>
      </c>
      <c r="AX81" s="27">
        <f t="shared" si="62"/>
        <v>0</v>
      </c>
      <c r="AY81" s="27">
        <f t="shared" si="62"/>
        <v>0</v>
      </c>
      <c r="AZ81" s="27">
        <f t="shared" si="62"/>
        <v>0</v>
      </c>
      <c r="BA81" s="27">
        <f t="shared" si="62"/>
        <v>0</v>
      </c>
      <c r="BB81" s="27">
        <f t="shared" si="62"/>
        <v>0</v>
      </c>
      <c r="BC81" s="4">
        <f t="shared" si="62"/>
        <v>0</v>
      </c>
      <c r="BD81" s="27">
        <f t="shared" si="62"/>
        <v>0</v>
      </c>
      <c r="BE81" s="27">
        <f t="shared" si="62"/>
        <v>0</v>
      </c>
      <c r="BF81" s="27">
        <f t="shared" si="62"/>
        <v>0</v>
      </c>
      <c r="BG81" s="27">
        <f t="shared" si="62"/>
        <v>0</v>
      </c>
      <c r="BH81" s="27">
        <f t="shared" si="62"/>
        <v>0</v>
      </c>
      <c r="BI81" s="27">
        <f t="shared" si="62"/>
        <v>0</v>
      </c>
      <c r="BJ81" s="27">
        <f t="shared" si="62"/>
        <v>0</v>
      </c>
      <c r="BK81" s="27">
        <f t="shared" si="62"/>
        <v>0</v>
      </c>
      <c r="BL81" s="27">
        <f t="shared" si="62"/>
        <v>0</v>
      </c>
      <c r="BM81" s="27">
        <f t="shared" si="62"/>
        <v>0</v>
      </c>
      <c r="BN81" s="27">
        <f t="shared" si="62"/>
        <v>0</v>
      </c>
      <c r="BO81" s="27">
        <f t="shared" si="62"/>
        <v>0</v>
      </c>
      <c r="BP81" s="4">
        <f t="shared" si="62"/>
        <v>0</v>
      </c>
    </row>
    <row r="82" spans="1:68" s="12" customFormat="1" x14ac:dyDescent="0.25">
      <c r="A82" s="12" t="s">
        <v>106</v>
      </c>
      <c r="B82" s="56" t="s">
        <v>99</v>
      </c>
      <c r="D82" s="57">
        <f t="shared" ref="D82:AI82" si="63">D69</f>
        <v>0</v>
      </c>
      <c r="E82" s="57">
        <f t="shared" si="63"/>
        <v>0</v>
      </c>
      <c r="F82" s="57">
        <f t="shared" si="63"/>
        <v>0</v>
      </c>
      <c r="G82" s="57">
        <f t="shared" si="63"/>
        <v>-160</v>
      </c>
      <c r="H82" s="57">
        <f t="shared" si="63"/>
        <v>0</v>
      </c>
      <c r="I82" s="57">
        <f t="shared" si="63"/>
        <v>0</v>
      </c>
      <c r="J82" s="57">
        <f t="shared" si="63"/>
        <v>0</v>
      </c>
      <c r="K82" s="57">
        <f t="shared" si="63"/>
        <v>-155</v>
      </c>
      <c r="L82" s="57">
        <f t="shared" si="63"/>
        <v>0</v>
      </c>
      <c r="M82" s="57">
        <f t="shared" si="63"/>
        <v>0</v>
      </c>
      <c r="N82" s="57">
        <f t="shared" si="63"/>
        <v>0</v>
      </c>
      <c r="O82" s="57">
        <f t="shared" si="63"/>
        <v>-191</v>
      </c>
      <c r="P82" s="58">
        <f t="shared" si="63"/>
        <v>-506</v>
      </c>
      <c r="Q82" s="57">
        <f t="shared" si="63"/>
        <v>0</v>
      </c>
      <c r="R82" s="57">
        <f t="shared" si="63"/>
        <v>0</v>
      </c>
      <c r="S82" s="57">
        <f t="shared" si="63"/>
        <v>0</v>
      </c>
      <c r="T82" s="57">
        <f t="shared" si="63"/>
        <v>-52</v>
      </c>
      <c r="U82" s="57">
        <f t="shared" si="63"/>
        <v>0</v>
      </c>
      <c r="V82" s="57">
        <f t="shared" si="63"/>
        <v>0</v>
      </c>
      <c r="W82" s="57">
        <f t="shared" si="63"/>
        <v>0</v>
      </c>
      <c r="X82" s="57">
        <f t="shared" si="63"/>
        <v>-149</v>
      </c>
      <c r="Y82" s="57">
        <f t="shared" si="63"/>
        <v>0</v>
      </c>
      <c r="Z82" s="57">
        <f t="shared" si="63"/>
        <v>0</v>
      </c>
      <c r="AA82" s="57">
        <f t="shared" si="63"/>
        <v>0</v>
      </c>
      <c r="AB82" s="57">
        <f t="shared" si="63"/>
        <v>-163</v>
      </c>
      <c r="AC82" s="58">
        <f t="shared" si="63"/>
        <v>-364</v>
      </c>
      <c r="AD82" s="57">
        <f t="shared" si="63"/>
        <v>0</v>
      </c>
      <c r="AE82" s="57">
        <f t="shared" si="63"/>
        <v>0</v>
      </c>
      <c r="AF82" s="57">
        <f t="shared" si="63"/>
        <v>0</v>
      </c>
      <c r="AG82" s="57">
        <f t="shared" si="63"/>
        <v>-57</v>
      </c>
      <c r="AH82" s="57">
        <f t="shared" si="63"/>
        <v>0</v>
      </c>
      <c r="AI82" s="57">
        <f t="shared" si="63"/>
        <v>0</v>
      </c>
      <c r="AJ82" s="57">
        <f t="shared" ref="AJ82:BP82" si="64">AJ69</f>
        <v>0</v>
      </c>
      <c r="AK82" s="57">
        <f t="shared" si="64"/>
        <v>-199</v>
      </c>
      <c r="AL82" s="57">
        <f t="shared" si="64"/>
        <v>0</v>
      </c>
      <c r="AM82" s="57">
        <f t="shared" si="64"/>
        <v>0</v>
      </c>
      <c r="AN82" s="57">
        <f t="shared" si="64"/>
        <v>0</v>
      </c>
      <c r="AO82" s="57">
        <f t="shared" si="64"/>
        <v>-60</v>
      </c>
      <c r="AP82" s="58">
        <f t="shared" si="64"/>
        <v>-316</v>
      </c>
      <c r="AQ82" s="59">
        <f t="shared" si="64"/>
        <v>0</v>
      </c>
      <c r="AR82" s="57">
        <f t="shared" si="64"/>
        <v>0</v>
      </c>
      <c r="AS82" s="57">
        <f t="shared" si="64"/>
        <v>0</v>
      </c>
      <c r="AT82" s="57">
        <f t="shared" si="64"/>
        <v>0</v>
      </c>
      <c r="AU82" s="57">
        <f t="shared" si="64"/>
        <v>0</v>
      </c>
      <c r="AV82" s="57">
        <f t="shared" si="64"/>
        <v>0</v>
      </c>
      <c r="AW82" s="57">
        <f t="shared" si="64"/>
        <v>0</v>
      </c>
      <c r="AX82" s="57">
        <f t="shared" si="64"/>
        <v>0</v>
      </c>
      <c r="AY82" s="57">
        <f t="shared" si="64"/>
        <v>0</v>
      </c>
      <c r="AZ82" s="57">
        <f t="shared" si="64"/>
        <v>0</v>
      </c>
      <c r="BA82" s="57">
        <f t="shared" si="64"/>
        <v>0</v>
      </c>
      <c r="BB82" s="57">
        <f t="shared" si="64"/>
        <v>0</v>
      </c>
      <c r="BC82" s="58">
        <f t="shared" si="64"/>
        <v>0</v>
      </c>
      <c r="BD82" s="57">
        <f t="shared" si="64"/>
        <v>0</v>
      </c>
      <c r="BE82" s="57">
        <f t="shared" si="64"/>
        <v>0</v>
      </c>
      <c r="BF82" s="57">
        <f t="shared" si="64"/>
        <v>0</v>
      </c>
      <c r="BG82" s="57">
        <f t="shared" si="64"/>
        <v>0</v>
      </c>
      <c r="BH82" s="57">
        <f t="shared" si="64"/>
        <v>0</v>
      </c>
      <c r="BI82" s="57">
        <f t="shared" si="64"/>
        <v>0</v>
      </c>
      <c r="BJ82" s="57">
        <f t="shared" si="64"/>
        <v>0</v>
      </c>
      <c r="BK82" s="57">
        <f t="shared" si="64"/>
        <v>0</v>
      </c>
      <c r="BL82" s="57">
        <f t="shared" si="64"/>
        <v>0</v>
      </c>
      <c r="BM82" s="57">
        <f t="shared" si="64"/>
        <v>0</v>
      </c>
      <c r="BN82" s="57">
        <f t="shared" si="64"/>
        <v>0</v>
      </c>
      <c r="BO82" s="57">
        <f t="shared" si="64"/>
        <v>0</v>
      </c>
      <c r="BP82" s="58">
        <f t="shared" si="64"/>
        <v>0</v>
      </c>
    </row>
    <row r="83" spans="1:68" s="13" customFormat="1" x14ac:dyDescent="0.25">
      <c r="A83" s="13" t="s">
        <v>108</v>
      </c>
      <c r="B83" s="60"/>
      <c r="D83" s="61">
        <f t="shared" ref="D83:AI83" si="65">SUM(D72:D82)</f>
        <v>5001</v>
      </c>
      <c r="E83" s="61">
        <f t="shared" si="65"/>
        <v>1304.1304000000005</v>
      </c>
      <c r="F83" s="61">
        <f t="shared" si="65"/>
        <v>13898.829879999999</v>
      </c>
      <c r="G83" s="61">
        <f t="shared" si="65"/>
        <v>10031.206839999999</v>
      </c>
      <c r="H83" s="61">
        <f t="shared" si="65"/>
        <v>2102.2663199999997</v>
      </c>
      <c r="I83" s="61">
        <f t="shared" si="65"/>
        <v>15241.735799999997</v>
      </c>
      <c r="J83" s="61">
        <f t="shared" si="65"/>
        <v>4852.5687200000011</v>
      </c>
      <c r="K83" s="61">
        <f t="shared" si="65"/>
        <v>16423.588400000001</v>
      </c>
      <c r="L83" s="61">
        <f t="shared" si="65"/>
        <v>9391.3578799999977</v>
      </c>
      <c r="M83" s="61">
        <f t="shared" si="65"/>
        <v>21567.61736</v>
      </c>
      <c r="N83" s="61">
        <f t="shared" si="65"/>
        <v>16553.821039999999</v>
      </c>
      <c r="O83" s="61">
        <f t="shared" si="65"/>
        <v>26022.159519999997</v>
      </c>
      <c r="P83" s="62">
        <f t="shared" si="65"/>
        <v>142390.28216</v>
      </c>
      <c r="Q83" s="61">
        <f t="shared" si="65"/>
        <v>6211.1816799999997</v>
      </c>
      <c r="R83" s="61">
        <f t="shared" si="65"/>
        <v>30298.864240000003</v>
      </c>
      <c r="S83" s="61">
        <f t="shared" si="65"/>
        <v>11882.031040000003</v>
      </c>
      <c r="T83" s="61">
        <f t="shared" si="65"/>
        <v>24498.039199999999</v>
      </c>
      <c r="U83" s="61">
        <f t="shared" si="65"/>
        <v>17417.771680000002</v>
      </c>
      <c r="V83" s="61">
        <f t="shared" si="65"/>
        <v>23661.169959999999</v>
      </c>
      <c r="W83" s="61">
        <f t="shared" si="65"/>
        <v>16688.74812</v>
      </c>
      <c r="X83" s="61">
        <f t="shared" si="65"/>
        <v>14948.692840000003</v>
      </c>
      <c r="Y83" s="61">
        <f t="shared" si="65"/>
        <v>6611.5025600000008</v>
      </c>
      <c r="Z83" s="61">
        <f t="shared" si="65"/>
        <v>31592.330599999994</v>
      </c>
      <c r="AA83" s="61">
        <f t="shared" si="65"/>
        <v>5829.7392</v>
      </c>
      <c r="AB83" s="61">
        <f t="shared" si="65"/>
        <v>20854.723160000001</v>
      </c>
      <c r="AC83" s="62">
        <f t="shared" si="65"/>
        <v>210494.79428000009</v>
      </c>
      <c r="AD83" s="61">
        <f t="shared" si="65"/>
        <v>-993.65287999999975</v>
      </c>
      <c r="AE83" s="61">
        <f t="shared" si="65"/>
        <v>30727.240719999998</v>
      </c>
      <c r="AF83" s="61">
        <f t="shared" si="65"/>
        <v>12862.420600000003</v>
      </c>
      <c r="AG83" s="61">
        <f t="shared" si="65"/>
        <v>28030.731039999999</v>
      </c>
      <c r="AH83" s="61">
        <f t="shared" si="65"/>
        <v>-4468.1803600000003</v>
      </c>
      <c r="AI83" s="61">
        <f t="shared" si="65"/>
        <v>32490.921320000001</v>
      </c>
      <c r="AJ83" s="61">
        <f t="shared" ref="AJ83:BO83" si="66">SUM(AJ72:AJ82)</f>
        <v>7459.9592400000001</v>
      </c>
      <c r="AK83" s="61">
        <f t="shared" si="66"/>
        <v>13945.237720000001</v>
      </c>
      <c r="AL83" s="61">
        <f t="shared" si="66"/>
        <v>8030.7058799999977</v>
      </c>
      <c r="AM83" s="61">
        <f t="shared" si="66"/>
        <v>17313.076480000007</v>
      </c>
      <c r="AN83" s="61">
        <f t="shared" si="66"/>
        <v>21485.538799999998</v>
      </c>
      <c r="AO83" s="61">
        <f t="shared" si="66"/>
        <v>6397.9274000000005</v>
      </c>
      <c r="AP83" s="62">
        <f t="shared" si="66"/>
        <v>173281.92595999999</v>
      </c>
      <c r="AQ83" s="63">
        <f t="shared" si="66"/>
        <v>0</v>
      </c>
      <c r="AR83" s="61">
        <f t="shared" si="66"/>
        <v>0</v>
      </c>
      <c r="AS83" s="61">
        <f t="shared" si="66"/>
        <v>0</v>
      </c>
      <c r="AT83" s="61">
        <f t="shared" si="66"/>
        <v>0</v>
      </c>
      <c r="AU83" s="61">
        <f t="shared" si="66"/>
        <v>0</v>
      </c>
      <c r="AV83" s="61">
        <f t="shared" si="66"/>
        <v>0</v>
      </c>
      <c r="AW83" s="61">
        <f t="shared" si="66"/>
        <v>0</v>
      </c>
      <c r="AX83" s="61">
        <f t="shared" si="66"/>
        <v>0</v>
      </c>
      <c r="AY83" s="61">
        <f t="shared" si="66"/>
        <v>0</v>
      </c>
      <c r="AZ83" s="61">
        <f t="shared" si="66"/>
        <v>0</v>
      </c>
      <c r="BA83" s="61">
        <f t="shared" si="66"/>
        <v>0</v>
      </c>
      <c r="BB83" s="61">
        <f t="shared" si="66"/>
        <v>0</v>
      </c>
      <c r="BC83" s="62">
        <f t="shared" si="66"/>
        <v>0</v>
      </c>
      <c r="BD83" s="61">
        <f t="shared" si="66"/>
        <v>0</v>
      </c>
      <c r="BE83" s="61">
        <f t="shared" si="66"/>
        <v>0</v>
      </c>
      <c r="BF83" s="61">
        <f t="shared" si="66"/>
        <v>0</v>
      </c>
      <c r="BG83" s="61">
        <f t="shared" si="66"/>
        <v>0</v>
      </c>
      <c r="BH83" s="61">
        <f t="shared" si="66"/>
        <v>0</v>
      </c>
      <c r="BI83" s="61">
        <f t="shared" si="66"/>
        <v>0</v>
      </c>
      <c r="BJ83" s="61">
        <f t="shared" si="66"/>
        <v>0</v>
      </c>
      <c r="BK83" s="61">
        <f t="shared" si="66"/>
        <v>0</v>
      </c>
      <c r="BL83" s="61">
        <f t="shared" si="66"/>
        <v>0</v>
      </c>
      <c r="BM83" s="61">
        <f t="shared" si="66"/>
        <v>0</v>
      </c>
      <c r="BN83" s="61">
        <f t="shared" si="66"/>
        <v>0</v>
      </c>
      <c r="BO83" s="61">
        <f t="shared" si="66"/>
        <v>0</v>
      </c>
      <c r="BP83" s="62">
        <f t="shared" ref="BP83:CU83" si="67">SUM(BP72:BP82)</f>
        <v>0</v>
      </c>
    </row>
    <row r="85" spans="1:68" s="8" customFormat="1" x14ac:dyDescent="0.25">
      <c r="A85" s="38" t="s">
        <v>109</v>
      </c>
      <c r="B85" s="39"/>
      <c r="C85" s="38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1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1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1"/>
      <c r="AQ85" s="42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1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1"/>
    </row>
    <row r="86" spans="1:68" x14ac:dyDescent="0.25">
      <c r="A86" t="s">
        <v>110</v>
      </c>
      <c r="B86" s="2" t="s">
        <v>111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4">
        <f>SUM(D86:O86)</f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4">
        <f>SUM(Q86:AB86)</f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4">
        <f>SUM(AD86:AO86)</f>
        <v>0</v>
      </c>
      <c r="AQ86" s="5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4">
        <f>SUM(AQ86:BB86)</f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4">
        <f>SUM(BD86:BO86)</f>
        <v>0</v>
      </c>
    </row>
    <row r="87" spans="1:68" s="14" customFormat="1" x14ac:dyDescent="0.25">
      <c r="A87" s="64" t="s">
        <v>20</v>
      </c>
      <c r="B87" s="65"/>
      <c r="C87" s="66" t="s">
        <v>112</v>
      </c>
      <c r="D87" s="67">
        <f t="shared" ref="D87:AI87" si="68">SUM(D86:D86)</f>
        <v>0</v>
      </c>
      <c r="E87" s="67">
        <f t="shared" si="68"/>
        <v>0</v>
      </c>
      <c r="F87" s="67">
        <f t="shared" si="68"/>
        <v>0</v>
      </c>
      <c r="G87" s="67">
        <f t="shared" si="68"/>
        <v>0</v>
      </c>
      <c r="H87" s="67">
        <f t="shared" si="68"/>
        <v>0</v>
      </c>
      <c r="I87" s="67">
        <f t="shared" si="68"/>
        <v>0</v>
      </c>
      <c r="J87" s="67">
        <f t="shared" si="68"/>
        <v>0</v>
      </c>
      <c r="K87" s="67">
        <f t="shared" si="68"/>
        <v>0</v>
      </c>
      <c r="L87" s="67">
        <f t="shared" si="68"/>
        <v>0</v>
      </c>
      <c r="M87" s="67">
        <f t="shared" si="68"/>
        <v>0</v>
      </c>
      <c r="N87" s="67">
        <f t="shared" si="68"/>
        <v>0</v>
      </c>
      <c r="O87" s="67">
        <f t="shared" si="68"/>
        <v>0</v>
      </c>
      <c r="P87" s="68">
        <f t="shared" si="68"/>
        <v>0</v>
      </c>
      <c r="Q87" s="67">
        <f t="shared" si="68"/>
        <v>0</v>
      </c>
      <c r="R87" s="67">
        <f t="shared" si="68"/>
        <v>0</v>
      </c>
      <c r="S87" s="67">
        <f t="shared" si="68"/>
        <v>0</v>
      </c>
      <c r="T87" s="67">
        <f t="shared" si="68"/>
        <v>0</v>
      </c>
      <c r="U87" s="67">
        <f t="shared" si="68"/>
        <v>0</v>
      </c>
      <c r="V87" s="67">
        <f t="shared" si="68"/>
        <v>0</v>
      </c>
      <c r="W87" s="67">
        <f t="shared" si="68"/>
        <v>0</v>
      </c>
      <c r="X87" s="67">
        <f t="shared" si="68"/>
        <v>0</v>
      </c>
      <c r="Y87" s="67">
        <f t="shared" si="68"/>
        <v>0</v>
      </c>
      <c r="Z87" s="67">
        <f t="shared" si="68"/>
        <v>0</v>
      </c>
      <c r="AA87" s="67">
        <f t="shared" si="68"/>
        <v>0</v>
      </c>
      <c r="AB87" s="67">
        <f t="shared" si="68"/>
        <v>0</v>
      </c>
      <c r="AC87" s="68">
        <f t="shared" si="68"/>
        <v>0</v>
      </c>
      <c r="AD87" s="67">
        <f t="shared" si="68"/>
        <v>0</v>
      </c>
      <c r="AE87" s="67">
        <f t="shared" si="68"/>
        <v>0</v>
      </c>
      <c r="AF87" s="67">
        <f t="shared" si="68"/>
        <v>0</v>
      </c>
      <c r="AG87" s="67">
        <f t="shared" si="68"/>
        <v>0</v>
      </c>
      <c r="AH87" s="67">
        <f t="shared" si="68"/>
        <v>0</v>
      </c>
      <c r="AI87" s="67">
        <f t="shared" si="68"/>
        <v>0</v>
      </c>
      <c r="AJ87" s="67">
        <f t="shared" ref="AJ87:BO87" si="69">SUM(AJ86:AJ86)</f>
        <v>0</v>
      </c>
      <c r="AK87" s="67">
        <f t="shared" si="69"/>
        <v>0</v>
      </c>
      <c r="AL87" s="67">
        <f t="shared" si="69"/>
        <v>0</v>
      </c>
      <c r="AM87" s="67">
        <f t="shared" si="69"/>
        <v>0</v>
      </c>
      <c r="AN87" s="67">
        <f t="shared" si="69"/>
        <v>0</v>
      </c>
      <c r="AO87" s="67">
        <f t="shared" si="69"/>
        <v>0</v>
      </c>
      <c r="AP87" s="68">
        <f t="shared" si="69"/>
        <v>0</v>
      </c>
      <c r="AQ87" s="67">
        <f t="shared" si="69"/>
        <v>0</v>
      </c>
      <c r="AR87" s="67">
        <f t="shared" si="69"/>
        <v>0</v>
      </c>
      <c r="AS87" s="67">
        <f t="shared" si="69"/>
        <v>0</v>
      </c>
      <c r="AT87" s="67">
        <f t="shared" si="69"/>
        <v>0</v>
      </c>
      <c r="AU87" s="67">
        <f t="shared" si="69"/>
        <v>0</v>
      </c>
      <c r="AV87" s="67">
        <f t="shared" si="69"/>
        <v>0</v>
      </c>
      <c r="AW87" s="67">
        <f t="shared" si="69"/>
        <v>0</v>
      </c>
      <c r="AX87" s="67">
        <f t="shared" si="69"/>
        <v>0</v>
      </c>
      <c r="AY87" s="67">
        <f t="shared" si="69"/>
        <v>0</v>
      </c>
      <c r="AZ87" s="67">
        <f t="shared" si="69"/>
        <v>0</v>
      </c>
      <c r="BA87" s="67">
        <f t="shared" si="69"/>
        <v>0</v>
      </c>
      <c r="BB87" s="67">
        <f t="shared" si="69"/>
        <v>0</v>
      </c>
      <c r="BC87" s="68">
        <f t="shared" si="69"/>
        <v>0</v>
      </c>
      <c r="BD87" s="67">
        <f t="shared" si="69"/>
        <v>0</v>
      </c>
      <c r="BE87" s="67">
        <f t="shared" si="69"/>
        <v>0</v>
      </c>
      <c r="BF87" s="67">
        <f t="shared" si="69"/>
        <v>0</v>
      </c>
      <c r="BG87" s="67">
        <f t="shared" si="69"/>
        <v>0</v>
      </c>
      <c r="BH87" s="67">
        <f t="shared" si="69"/>
        <v>0</v>
      </c>
      <c r="BI87" s="67">
        <f t="shared" si="69"/>
        <v>0</v>
      </c>
      <c r="BJ87" s="67">
        <f t="shared" si="69"/>
        <v>0</v>
      </c>
      <c r="BK87" s="67">
        <f t="shared" si="69"/>
        <v>0</v>
      </c>
      <c r="BL87" s="67">
        <f t="shared" si="69"/>
        <v>0</v>
      </c>
      <c r="BM87" s="67">
        <f t="shared" si="69"/>
        <v>0</v>
      </c>
      <c r="BN87" s="67">
        <f t="shared" si="69"/>
        <v>0</v>
      </c>
      <c r="BO87" s="67">
        <f t="shared" si="69"/>
        <v>0</v>
      </c>
      <c r="BP87" s="68">
        <f t="shared" ref="BP87:CU87" si="70">SUM(BP86:BP86)</f>
        <v>0</v>
      </c>
    </row>
    <row r="89" spans="1:68" s="8" customFormat="1" x14ac:dyDescent="0.25">
      <c r="A89" s="38" t="s">
        <v>113</v>
      </c>
      <c r="B89" s="39"/>
      <c r="C89" s="38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1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1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1"/>
      <c r="AQ89" s="42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1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1"/>
    </row>
    <row r="90" spans="1:68" x14ac:dyDescent="0.25">
      <c r="A90" t="s">
        <v>114</v>
      </c>
      <c r="B90" s="2" t="s">
        <v>115</v>
      </c>
      <c r="D90" s="3">
        <v>3750.75</v>
      </c>
      <c r="E90" s="3">
        <v>0</v>
      </c>
      <c r="F90" s="3">
        <v>3640.87</v>
      </c>
      <c r="G90" s="3">
        <v>9572.41</v>
      </c>
      <c r="H90" s="3">
        <v>3083.21</v>
      </c>
      <c r="I90" s="3">
        <v>13262.74</v>
      </c>
      <c r="J90" s="3">
        <v>7917.7</v>
      </c>
      <c r="K90" s="3">
        <v>9869.66</v>
      </c>
      <c r="L90" s="3">
        <v>12190.42</v>
      </c>
      <c r="M90" s="3">
        <v>20783.47</v>
      </c>
      <c r="N90" s="3">
        <v>16696.400000000001</v>
      </c>
      <c r="O90" s="3">
        <v>21769.439999999999</v>
      </c>
      <c r="P90" s="4">
        <f>SUM(D90:O90)</f>
        <v>122537.07</v>
      </c>
      <c r="Q90" s="3">
        <v>4997.45</v>
      </c>
      <c r="R90" s="3">
        <v>15451.24</v>
      </c>
      <c r="S90" s="3">
        <v>17231.400000000001</v>
      </c>
      <c r="T90" s="3">
        <v>23032.66</v>
      </c>
      <c r="U90" s="3">
        <v>13125.34</v>
      </c>
      <c r="V90" s="3">
        <v>24670.75</v>
      </c>
      <c r="W90" s="3">
        <v>20926.77</v>
      </c>
      <c r="X90" s="3">
        <v>14812.35</v>
      </c>
      <c r="Y90" s="3">
        <v>10492.88</v>
      </c>
      <c r="Z90" s="3">
        <v>53400.223610000001</v>
      </c>
      <c r="AA90" s="3">
        <v>10295.209999999999</v>
      </c>
      <c r="AB90" s="3">
        <v>20517.62</v>
      </c>
      <c r="AC90" s="4">
        <f>SUM(Q90:AB90)</f>
        <v>228953.89361</v>
      </c>
      <c r="AD90" s="3">
        <v>574.29</v>
      </c>
      <c r="AE90" s="3">
        <v>3074.83</v>
      </c>
      <c r="AF90" s="3">
        <v>12482.87</v>
      </c>
      <c r="AG90" s="3">
        <v>25876.18</v>
      </c>
      <c r="AH90" s="3">
        <v>5631.54</v>
      </c>
      <c r="AI90" s="3">
        <v>29334.29</v>
      </c>
      <c r="AJ90" s="3">
        <v>14060.04</v>
      </c>
      <c r="AK90" s="3">
        <v>5790.11</v>
      </c>
      <c r="AL90" s="3">
        <v>8516.4500000000007</v>
      </c>
      <c r="AM90" s="3">
        <v>54247.070910000002</v>
      </c>
      <c r="AN90" s="3">
        <v>18379.82</v>
      </c>
      <c r="AO90" s="3">
        <v>19266.919999999998</v>
      </c>
      <c r="AP90" s="4">
        <f>SUM(AD90:AO90)</f>
        <v>197234.41091000004</v>
      </c>
      <c r="AQ90" s="5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4">
        <f>SUM(AQ90:BB90)</f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4">
        <f>SUM(BD90:BO90)</f>
        <v>0</v>
      </c>
    </row>
    <row r="91" spans="1:68" s="10" customFormat="1" x14ac:dyDescent="0.25">
      <c r="A91" s="48" t="s">
        <v>20</v>
      </c>
      <c r="B91" s="49"/>
      <c r="C91" s="50" t="s">
        <v>116</v>
      </c>
      <c r="D91" s="51">
        <f t="shared" ref="D91:AI91" si="71">SUM(D90:D90)*-1</f>
        <v>-3750.75</v>
      </c>
      <c r="E91" s="51">
        <f t="shared" si="71"/>
        <v>0</v>
      </c>
      <c r="F91" s="51">
        <f t="shared" si="71"/>
        <v>-3640.87</v>
      </c>
      <c r="G91" s="51">
        <f t="shared" si="71"/>
        <v>-9572.41</v>
      </c>
      <c r="H91" s="51">
        <f t="shared" si="71"/>
        <v>-3083.21</v>
      </c>
      <c r="I91" s="51">
        <f t="shared" si="71"/>
        <v>-13262.74</v>
      </c>
      <c r="J91" s="51">
        <f t="shared" si="71"/>
        <v>-7917.7</v>
      </c>
      <c r="K91" s="51">
        <f t="shared" si="71"/>
        <v>-9869.66</v>
      </c>
      <c r="L91" s="51">
        <f t="shared" si="71"/>
        <v>-12190.42</v>
      </c>
      <c r="M91" s="51">
        <f t="shared" si="71"/>
        <v>-20783.47</v>
      </c>
      <c r="N91" s="51">
        <f t="shared" si="71"/>
        <v>-16696.400000000001</v>
      </c>
      <c r="O91" s="51">
        <f t="shared" si="71"/>
        <v>-21769.439999999999</v>
      </c>
      <c r="P91" s="52">
        <f t="shared" si="71"/>
        <v>-122537.07</v>
      </c>
      <c r="Q91" s="51">
        <f t="shared" si="71"/>
        <v>-4997.45</v>
      </c>
      <c r="R91" s="51">
        <f t="shared" si="71"/>
        <v>-15451.24</v>
      </c>
      <c r="S91" s="51">
        <f t="shared" si="71"/>
        <v>-17231.400000000001</v>
      </c>
      <c r="T91" s="51">
        <f t="shared" si="71"/>
        <v>-23032.66</v>
      </c>
      <c r="U91" s="51">
        <f t="shared" si="71"/>
        <v>-13125.34</v>
      </c>
      <c r="V91" s="51">
        <f t="shared" si="71"/>
        <v>-24670.75</v>
      </c>
      <c r="W91" s="51">
        <f t="shared" si="71"/>
        <v>-20926.77</v>
      </c>
      <c r="X91" s="51">
        <f t="shared" si="71"/>
        <v>-14812.35</v>
      </c>
      <c r="Y91" s="51">
        <f t="shared" si="71"/>
        <v>-10492.88</v>
      </c>
      <c r="Z91" s="51">
        <f t="shared" si="71"/>
        <v>-53400.223610000001</v>
      </c>
      <c r="AA91" s="51">
        <f t="shared" si="71"/>
        <v>-10295.209999999999</v>
      </c>
      <c r="AB91" s="51">
        <f t="shared" si="71"/>
        <v>-20517.62</v>
      </c>
      <c r="AC91" s="52">
        <f t="shared" si="71"/>
        <v>-228953.89361</v>
      </c>
      <c r="AD91" s="51">
        <f t="shared" si="71"/>
        <v>-574.29</v>
      </c>
      <c r="AE91" s="51">
        <f t="shared" si="71"/>
        <v>-3074.83</v>
      </c>
      <c r="AF91" s="51">
        <f t="shared" si="71"/>
        <v>-12482.87</v>
      </c>
      <c r="AG91" s="51">
        <f t="shared" si="71"/>
        <v>-25876.18</v>
      </c>
      <c r="AH91" s="51">
        <f t="shared" si="71"/>
        <v>-5631.54</v>
      </c>
      <c r="AI91" s="51">
        <f t="shared" si="71"/>
        <v>-29334.29</v>
      </c>
      <c r="AJ91" s="51">
        <f t="shared" ref="AJ91:BO91" si="72">SUM(AJ90:AJ90)*-1</f>
        <v>-14060.04</v>
      </c>
      <c r="AK91" s="51">
        <f t="shared" si="72"/>
        <v>-5790.11</v>
      </c>
      <c r="AL91" s="51">
        <f t="shared" si="72"/>
        <v>-8516.4500000000007</v>
      </c>
      <c r="AM91" s="51">
        <f t="shared" si="72"/>
        <v>-54247.070910000002</v>
      </c>
      <c r="AN91" s="51">
        <f t="shared" si="72"/>
        <v>-18379.82</v>
      </c>
      <c r="AO91" s="51">
        <f t="shared" si="72"/>
        <v>-19266.919999999998</v>
      </c>
      <c r="AP91" s="52">
        <f t="shared" si="72"/>
        <v>-197234.41091000004</v>
      </c>
      <c r="AQ91" s="51">
        <f t="shared" si="72"/>
        <v>0</v>
      </c>
      <c r="AR91" s="51">
        <f t="shared" si="72"/>
        <v>0</v>
      </c>
      <c r="AS91" s="51">
        <f t="shared" si="72"/>
        <v>0</v>
      </c>
      <c r="AT91" s="51">
        <f t="shared" si="72"/>
        <v>0</v>
      </c>
      <c r="AU91" s="51">
        <f t="shared" si="72"/>
        <v>0</v>
      </c>
      <c r="AV91" s="51">
        <f t="shared" si="72"/>
        <v>0</v>
      </c>
      <c r="AW91" s="51">
        <f t="shared" si="72"/>
        <v>0</v>
      </c>
      <c r="AX91" s="51">
        <f t="shared" si="72"/>
        <v>0</v>
      </c>
      <c r="AY91" s="51">
        <f t="shared" si="72"/>
        <v>0</v>
      </c>
      <c r="AZ91" s="51">
        <f t="shared" si="72"/>
        <v>0</v>
      </c>
      <c r="BA91" s="51">
        <f t="shared" si="72"/>
        <v>0</v>
      </c>
      <c r="BB91" s="51">
        <f t="shared" si="72"/>
        <v>0</v>
      </c>
      <c r="BC91" s="52">
        <f t="shared" si="72"/>
        <v>0</v>
      </c>
      <c r="BD91" s="51">
        <f t="shared" si="72"/>
        <v>0</v>
      </c>
      <c r="BE91" s="51">
        <f t="shared" si="72"/>
        <v>0</v>
      </c>
      <c r="BF91" s="51">
        <f t="shared" si="72"/>
        <v>0</v>
      </c>
      <c r="BG91" s="51">
        <f t="shared" si="72"/>
        <v>0</v>
      </c>
      <c r="BH91" s="51">
        <f t="shared" si="72"/>
        <v>0</v>
      </c>
      <c r="BI91" s="51">
        <f t="shared" si="72"/>
        <v>0</v>
      </c>
      <c r="BJ91" s="51">
        <f t="shared" si="72"/>
        <v>0</v>
      </c>
      <c r="BK91" s="51">
        <f t="shared" si="72"/>
        <v>0</v>
      </c>
      <c r="BL91" s="51">
        <f t="shared" si="72"/>
        <v>0</v>
      </c>
      <c r="BM91" s="51">
        <f t="shared" si="72"/>
        <v>0</v>
      </c>
      <c r="BN91" s="51">
        <f t="shared" si="72"/>
        <v>0</v>
      </c>
      <c r="BO91" s="51">
        <f t="shared" si="72"/>
        <v>0</v>
      </c>
      <c r="BP91" s="52">
        <f t="shared" ref="BP91:CU91" si="73">SUM(BP90:BP90)*-1</f>
        <v>0</v>
      </c>
    </row>
    <row r="93" spans="1:68" s="8" customFormat="1" x14ac:dyDescent="0.25">
      <c r="A93" s="38" t="s">
        <v>117</v>
      </c>
      <c r="B93" s="39"/>
      <c r="C93" s="38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1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1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1"/>
      <c r="AQ93" s="42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1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1"/>
    </row>
    <row r="94" spans="1:68" x14ac:dyDescent="0.25">
      <c r="A94" t="s">
        <v>118</v>
      </c>
      <c r="B94" s="2" t="s">
        <v>119</v>
      </c>
      <c r="D94" s="3">
        <v>3750.75</v>
      </c>
      <c r="E94" s="3">
        <v>0</v>
      </c>
      <c r="F94" s="3">
        <v>3640.87</v>
      </c>
      <c r="G94" s="3">
        <v>9572.41</v>
      </c>
      <c r="H94" s="3">
        <v>3083.21</v>
      </c>
      <c r="I94" s="3">
        <v>13262.74</v>
      </c>
      <c r="J94" s="3">
        <v>7917.7</v>
      </c>
      <c r="K94" s="3">
        <v>9869.66</v>
      </c>
      <c r="L94" s="3">
        <v>12190.42</v>
      </c>
      <c r="M94" s="3">
        <v>20783.47</v>
      </c>
      <c r="N94" s="3">
        <v>16696.400000000001</v>
      </c>
      <c r="O94" s="3">
        <v>21769.439999999999</v>
      </c>
      <c r="P94" s="4">
        <f>SUM(D94:O94)</f>
        <v>122537.07</v>
      </c>
      <c r="Q94" s="3">
        <v>4997.45</v>
      </c>
      <c r="R94" s="3">
        <v>15451.24</v>
      </c>
      <c r="S94" s="3">
        <v>17231.400000000001</v>
      </c>
      <c r="T94" s="3">
        <v>23032.66</v>
      </c>
      <c r="U94" s="3">
        <v>13125.34</v>
      </c>
      <c r="V94" s="3">
        <v>24670.75</v>
      </c>
      <c r="W94" s="3">
        <v>20926.77</v>
      </c>
      <c r="X94" s="3">
        <v>14812.35</v>
      </c>
      <c r="Y94" s="3">
        <v>10492.88</v>
      </c>
      <c r="Z94" s="3">
        <v>53400.223610000001</v>
      </c>
      <c r="AA94" s="3">
        <v>10295.209999999999</v>
      </c>
      <c r="AB94" s="3">
        <v>20517.62</v>
      </c>
      <c r="AC94" s="4">
        <f>SUM(Q94:AB94)</f>
        <v>228953.89361</v>
      </c>
      <c r="AD94" s="3">
        <v>574.29</v>
      </c>
      <c r="AE94" s="3">
        <v>3074.83</v>
      </c>
      <c r="AF94" s="3">
        <v>12482.87</v>
      </c>
      <c r="AG94" s="3">
        <v>25876.18</v>
      </c>
      <c r="AH94" s="3">
        <v>5631.54</v>
      </c>
      <c r="AI94" s="3">
        <v>29334.29</v>
      </c>
      <c r="AJ94" s="3">
        <v>14060.04</v>
      </c>
      <c r="AK94" s="3">
        <v>5790.11</v>
      </c>
      <c r="AL94" s="3">
        <v>8516.4500000000007</v>
      </c>
      <c r="AM94" s="3">
        <v>54247.070910000002</v>
      </c>
      <c r="AN94" s="3">
        <v>18379.82</v>
      </c>
      <c r="AO94" s="3">
        <v>19266.919999999998</v>
      </c>
      <c r="AP94" s="4">
        <f>SUM(AD94:AO94)</f>
        <v>197234.41091000004</v>
      </c>
      <c r="AQ94" s="5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4">
        <f>SUM(AQ94:BB94)</f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4">
        <f>SUM(BD94:BO94)</f>
        <v>0</v>
      </c>
    </row>
    <row r="95" spans="1:68" s="9" customFormat="1" x14ac:dyDescent="0.25">
      <c r="A95" s="43" t="s">
        <v>20</v>
      </c>
      <c r="B95" s="44"/>
      <c r="C95" s="45" t="s">
        <v>120</v>
      </c>
      <c r="D95" s="46">
        <f t="shared" ref="D95:AI95" si="74">SUM(D94:D94)</f>
        <v>3750.75</v>
      </c>
      <c r="E95" s="46">
        <f t="shared" si="74"/>
        <v>0</v>
      </c>
      <c r="F95" s="46">
        <f t="shared" si="74"/>
        <v>3640.87</v>
      </c>
      <c r="G95" s="46">
        <f t="shared" si="74"/>
        <v>9572.41</v>
      </c>
      <c r="H95" s="46">
        <f t="shared" si="74"/>
        <v>3083.21</v>
      </c>
      <c r="I95" s="46">
        <f t="shared" si="74"/>
        <v>13262.74</v>
      </c>
      <c r="J95" s="46">
        <f t="shared" si="74"/>
        <v>7917.7</v>
      </c>
      <c r="K95" s="46">
        <f t="shared" si="74"/>
        <v>9869.66</v>
      </c>
      <c r="L95" s="46">
        <f t="shared" si="74"/>
        <v>12190.42</v>
      </c>
      <c r="M95" s="46">
        <f t="shared" si="74"/>
        <v>20783.47</v>
      </c>
      <c r="N95" s="46">
        <f t="shared" si="74"/>
        <v>16696.400000000001</v>
      </c>
      <c r="O95" s="46">
        <f t="shared" si="74"/>
        <v>21769.439999999999</v>
      </c>
      <c r="P95" s="47">
        <f t="shared" si="74"/>
        <v>122537.07</v>
      </c>
      <c r="Q95" s="46">
        <f t="shared" si="74"/>
        <v>4997.45</v>
      </c>
      <c r="R95" s="46">
        <f t="shared" si="74"/>
        <v>15451.24</v>
      </c>
      <c r="S95" s="46">
        <f t="shared" si="74"/>
        <v>17231.400000000001</v>
      </c>
      <c r="T95" s="46">
        <f t="shared" si="74"/>
        <v>23032.66</v>
      </c>
      <c r="U95" s="46">
        <f t="shared" si="74"/>
        <v>13125.34</v>
      </c>
      <c r="V95" s="46">
        <f t="shared" si="74"/>
        <v>24670.75</v>
      </c>
      <c r="W95" s="46">
        <f t="shared" si="74"/>
        <v>20926.77</v>
      </c>
      <c r="X95" s="46">
        <f t="shared" si="74"/>
        <v>14812.35</v>
      </c>
      <c r="Y95" s="46">
        <f t="shared" si="74"/>
        <v>10492.88</v>
      </c>
      <c r="Z95" s="46">
        <f t="shared" si="74"/>
        <v>53400.223610000001</v>
      </c>
      <c r="AA95" s="46">
        <f t="shared" si="74"/>
        <v>10295.209999999999</v>
      </c>
      <c r="AB95" s="46">
        <f t="shared" si="74"/>
        <v>20517.62</v>
      </c>
      <c r="AC95" s="47">
        <f t="shared" si="74"/>
        <v>228953.89361</v>
      </c>
      <c r="AD95" s="46">
        <f t="shared" si="74"/>
        <v>574.29</v>
      </c>
      <c r="AE95" s="46">
        <f t="shared" si="74"/>
        <v>3074.83</v>
      </c>
      <c r="AF95" s="46">
        <f t="shared" si="74"/>
        <v>12482.87</v>
      </c>
      <c r="AG95" s="46">
        <f t="shared" si="74"/>
        <v>25876.18</v>
      </c>
      <c r="AH95" s="46">
        <f t="shared" si="74"/>
        <v>5631.54</v>
      </c>
      <c r="AI95" s="46">
        <f t="shared" si="74"/>
        <v>29334.29</v>
      </c>
      <c r="AJ95" s="46">
        <f t="shared" ref="AJ95:BO95" si="75">SUM(AJ94:AJ94)</f>
        <v>14060.04</v>
      </c>
      <c r="AK95" s="46">
        <f t="shared" si="75"/>
        <v>5790.11</v>
      </c>
      <c r="AL95" s="46">
        <f t="shared" si="75"/>
        <v>8516.4500000000007</v>
      </c>
      <c r="AM95" s="46">
        <f t="shared" si="75"/>
        <v>54247.070910000002</v>
      </c>
      <c r="AN95" s="46">
        <f t="shared" si="75"/>
        <v>18379.82</v>
      </c>
      <c r="AO95" s="46">
        <f t="shared" si="75"/>
        <v>19266.919999999998</v>
      </c>
      <c r="AP95" s="47">
        <f t="shared" si="75"/>
        <v>197234.41091000004</v>
      </c>
      <c r="AQ95" s="46">
        <f t="shared" si="75"/>
        <v>0</v>
      </c>
      <c r="AR95" s="46">
        <f t="shared" si="75"/>
        <v>0</v>
      </c>
      <c r="AS95" s="46">
        <f t="shared" si="75"/>
        <v>0</v>
      </c>
      <c r="AT95" s="46">
        <f t="shared" si="75"/>
        <v>0</v>
      </c>
      <c r="AU95" s="46">
        <f t="shared" si="75"/>
        <v>0</v>
      </c>
      <c r="AV95" s="46">
        <f t="shared" si="75"/>
        <v>0</v>
      </c>
      <c r="AW95" s="46">
        <f t="shared" si="75"/>
        <v>0</v>
      </c>
      <c r="AX95" s="46">
        <f t="shared" si="75"/>
        <v>0</v>
      </c>
      <c r="AY95" s="46">
        <f t="shared" si="75"/>
        <v>0</v>
      </c>
      <c r="AZ95" s="46">
        <f t="shared" si="75"/>
        <v>0</v>
      </c>
      <c r="BA95" s="46">
        <f t="shared" si="75"/>
        <v>0</v>
      </c>
      <c r="BB95" s="46">
        <f t="shared" si="75"/>
        <v>0</v>
      </c>
      <c r="BC95" s="47">
        <f t="shared" si="75"/>
        <v>0</v>
      </c>
      <c r="BD95" s="46">
        <f t="shared" si="75"/>
        <v>0</v>
      </c>
      <c r="BE95" s="46">
        <f t="shared" si="75"/>
        <v>0</v>
      </c>
      <c r="BF95" s="46">
        <f t="shared" si="75"/>
        <v>0</v>
      </c>
      <c r="BG95" s="46">
        <f t="shared" si="75"/>
        <v>0</v>
      </c>
      <c r="BH95" s="46">
        <f t="shared" si="75"/>
        <v>0</v>
      </c>
      <c r="BI95" s="46">
        <f t="shared" si="75"/>
        <v>0</v>
      </c>
      <c r="BJ95" s="46">
        <f t="shared" si="75"/>
        <v>0</v>
      </c>
      <c r="BK95" s="46">
        <f t="shared" si="75"/>
        <v>0</v>
      </c>
      <c r="BL95" s="46">
        <f t="shared" si="75"/>
        <v>0</v>
      </c>
      <c r="BM95" s="46">
        <f t="shared" si="75"/>
        <v>0</v>
      </c>
      <c r="BN95" s="46">
        <f t="shared" si="75"/>
        <v>0</v>
      </c>
      <c r="BO95" s="46">
        <f t="shared" si="75"/>
        <v>0</v>
      </c>
      <c r="BP95" s="47">
        <f t="shared" ref="BP95:CU95" si="76">SUM(BP94:BP94)</f>
        <v>0</v>
      </c>
    </row>
    <row r="97" spans="1:68" s="8" customFormat="1" x14ac:dyDescent="0.25">
      <c r="A97" s="38" t="s">
        <v>121</v>
      </c>
      <c r="B97" s="39"/>
      <c r="C97" s="38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1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1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1"/>
      <c r="AQ97" s="42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1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1"/>
    </row>
    <row r="98" spans="1:68" x14ac:dyDescent="0.25">
      <c r="A98" t="s">
        <v>122</v>
      </c>
      <c r="B98" s="2" t="s">
        <v>123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4">
        <f>SUM(D98:O98)</f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4">
        <f>SUM(Q98:AB98)</f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4">
        <f>SUM(AD98:AO98)</f>
        <v>0</v>
      </c>
      <c r="AQ98" s="5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4">
        <f>SUM(AQ98:BB98)</f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4">
        <f>SUM(BD98:BO98)</f>
        <v>0</v>
      </c>
    </row>
    <row r="99" spans="1:68" s="14" customFormat="1" x14ac:dyDescent="0.25">
      <c r="A99" s="64" t="s">
        <v>20</v>
      </c>
      <c r="B99" s="65"/>
      <c r="C99" s="66" t="s">
        <v>124</v>
      </c>
      <c r="D99" s="67">
        <f t="shared" ref="D99:AI99" si="77">SUM(D98:D98)</f>
        <v>0</v>
      </c>
      <c r="E99" s="67">
        <f t="shared" si="77"/>
        <v>0</v>
      </c>
      <c r="F99" s="67">
        <f t="shared" si="77"/>
        <v>0</v>
      </c>
      <c r="G99" s="67">
        <f t="shared" si="77"/>
        <v>0</v>
      </c>
      <c r="H99" s="67">
        <f t="shared" si="77"/>
        <v>0</v>
      </c>
      <c r="I99" s="67">
        <f t="shared" si="77"/>
        <v>0</v>
      </c>
      <c r="J99" s="67">
        <f t="shared" si="77"/>
        <v>0</v>
      </c>
      <c r="K99" s="67">
        <f t="shared" si="77"/>
        <v>0</v>
      </c>
      <c r="L99" s="67">
        <f t="shared" si="77"/>
        <v>0</v>
      </c>
      <c r="M99" s="67">
        <f t="shared" si="77"/>
        <v>0</v>
      </c>
      <c r="N99" s="67">
        <f t="shared" si="77"/>
        <v>0</v>
      </c>
      <c r="O99" s="67">
        <f t="shared" si="77"/>
        <v>0</v>
      </c>
      <c r="P99" s="68">
        <f t="shared" si="77"/>
        <v>0</v>
      </c>
      <c r="Q99" s="67">
        <f t="shared" si="77"/>
        <v>0</v>
      </c>
      <c r="R99" s="67">
        <f t="shared" si="77"/>
        <v>0</v>
      </c>
      <c r="S99" s="67">
        <f t="shared" si="77"/>
        <v>0</v>
      </c>
      <c r="T99" s="67">
        <f t="shared" si="77"/>
        <v>0</v>
      </c>
      <c r="U99" s="67">
        <f t="shared" si="77"/>
        <v>0</v>
      </c>
      <c r="V99" s="67">
        <f t="shared" si="77"/>
        <v>0</v>
      </c>
      <c r="W99" s="67">
        <f t="shared" si="77"/>
        <v>0</v>
      </c>
      <c r="X99" s="67">
        <f t="shared" si="77"/>
        <v>0</v>
      </c>
      <c r="Y99" s="67">
        <f t="shared" si="77"/>
        <v>0</v>
      </c>
      <c r="Z99" s="67">
        <f t="shared" si="77"/>
        <v>0</v>
      </c>
      <c r="AA99" s="67">
        <f t="shared" si="77"/>
        <v>0</v>
      </c>
      <c r="AB99" s="67">
        <f t="shared" si="77"/>
        <v>0</v>
      </c>
      <c r="AC99" s="68">
        <f t="shared" si="77"/>
        <v>0</v>
      </c>
      <c r="AD99" s="67">
        <f t="shared" si="77"/>
        <v>0</v>
      </c>
      <c r="AE99" s="67">
        <f t="shared" si="77"/>
        <v>0</v>
      </c>
      <c r="AF99" s="67">
        <f t="shared" si="77"/>
        <v>0</v>
      </c>
      <c r="AG99" s="67">
        <f t="shared" si="77"/>
        <v>0</v>
      </c>
      <c r="AH99" s="67">
        <f t="shared" si="77"/>
        <v>0</v>
      </c>
      <c r="AI99" s="67">
        <f t="shared" si="77"/>
        <v>0</v>
      </c>
      <c r="AJ99" s="67">
        <f t="shared" ref="AJ99:BO99" si="78">SUM(AJ98:AJ98)</f>
        <v>0</v>
      </c>
      <c r="AK99" s="67">
        <f t="shared" si="78"/>
        <v>0</v>
      </c>
      <c r="AL99" s="67">
        <f t="shared" si="78"/>
        <v>0</v>
      </c>
      <c r="AM99" s="67">
        <f t="shared" si="78"/>
        <v>0</v>
      </c>
      <c r="AN99" s="67">
        <f t="shared" si="78"/>
        <v>0</v>
      </c>
      <c r="AO99" s="67">
        <f t="shared" si="78"/>
        <v>0</v>
      </c>
      <c r="AP99" s="68">
        <f t="shared" si="78"/>
        <v>0</v>
      </c>
      <c r="AQ99" s="67">
        <f t="shared" si="78"/>
        <v>0</v>
      </c>
      <c r="AR99" s="67">
        <f t="shared" si="78"/>
        <v>0</v>
      </c>
      <c r="AS99" s="67">
        <f t="shared" si="78"/>
        <v>0</v>
      </c>
      <c r="AT99" s="67">
        <f t="shared" si="78"/>
        <v>0</v>
      </c>
      <c r="AU99" s="67">
        <f t="shared" si="78"/>
        <v>0</v>
      </c>
      <c r="AV99" s="67">
        <f t="shared" si="78"/>
        <v>0</v>
      </c>
      <c r="AW99" s="67">
        <f t="shared" si="78"/>
        <v>0</v>
      </c>
      <c r="AX99" s="67">
        <f t="shared" si="78"/>
        <v>0</v>
      </c>
      <c r="AY99" s="67">
        <f t="shared" si="78"/>
        <v>0</v>
      </c>
      <c r="AZ99" s="67">
        <f t="shared" si="78"/>
        <v>0</v>
      </c>
      <c r="BA99" s="67">
        <f t="shared" si="78"/>
        <v>0</v>
      </c>
      <c r="BB99" s="67">
        <f t="shared" si="78"/>
        <v>0</v>
      </c>
      <c r="BC99" s="68">
        <f t="shared" si="78"/>
        <v>0</v>
      </c>
      <c r="BD99" s="67">
        <f t="shared" si="78"/>
        <v>0</v>
      </c>
      <c r="BE99" s="67">
        <f t="shared" si="78"/>
        <v>0</v>
      </c>
      <c r="BF99" s="67">
        <f t="shared" si="78"/>
        <v>0</v>
      </c>
      <c r="BG99" s="67">
        <f t="shared" si="78"/>
        <v>0</v>
      </c>
      <c r="BH99" s="67">
        <f t="shared" si="78"/>
        <v>0</v>
      </c>
      <c r="BI99" s="67">
        <f t="shared" si="78"/>
        <v>0</v>
      </c>
      <c r="BJ99" s="67">
        <f t="shared" si="78"/>
        <v>0</v>
      </c>
      <c r="BK99" s="67">
        <f t="shared" si="78"/>
        <v>0</v>
      </c>
      <c r="BL99" s="67">
        <f t="shared" si="78"/>
        <v>0</v>
      </c>
      <c r="BM99" s="67">
        <f t="shared" si="78"/>
        <v>0</v>
      </c>
      <c r="BN99" s="67">
        <f t="shared" si="78"/>
        <v>0</v>
      </c>
      <c r="BO99" s="67">
        <f t="shared" si="78"/>
        <v>0</v>
      </c>
      <c r="BP99" s="68">
        <f t="shared" ref="BP99:CU99" si="79">SUM(BP98:BP98)</f>
        <v>0</v>
      </c>
    </row>
    <row r="101" spans="1:68" s="8" customFormat="1" x14ac:dyDescent="0.25">
      <c r="A101" s="38" t="s">
        <v>125</v>
      </c>
      <c r="B101" s="39"/>
      <c r="C101" s="38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1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1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1"/>
      <c r="AQ101" s="42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1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1"/>
    </row>
    <row r="102" spans="1:68" x14ac:dyDescent="0.25">
      <c r="A102" t="s">
        <v>126</v>
      </c>
      <c r="B102" s="2" t="s">
        <v>127</v>
      </c>
      <c r="D102" s="3">
        <v>-1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4">
        <f>SUM(D102:O102)</f>
        <v>-1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4">
        <f>SUM(Q102:AB102)</f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4">
        <f>SUM(AD102:AO102)</f>
        <v>0</v>
      </c>
      <c r="AQ102" s="5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4">
        <f>SUM(AQ102:BB102)</f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4">
        <f>SUM(BD102:BO102)</f>
        <v>0</v>
      </c>
    </row>
    <row r="103" spans="1:68" s="14" customFormat="1" x14ac:dyDescent="0.25">
      <c r="A103" s="64" t="s">
        <v>20</v>
      </c>
      <c r="B103" s="65"/>
      <c r="C103" s="66" t="s">
        <v>128</v>
      </c>
      <c r="D103" s="67">
        <f t="shared" ref="D103:AI103" si="80">SUM(D102:D102)</f>
        <v>-1</v>
      </c>
      <c r="E103" s="67">
        <f t="shared" si="80"/>
        <v>0</v>
      </c>
      <c r="F103" s="67">
        <f t="shared" si="80"/>
        <v>0</v>
      </c>
      <c r="G103" s="67">
        <f t="shared" si="80"/>
        <v>0</v>
      </c>
      <c r="H103" s="67">
        <f t="shared" si="80"/>
        <v>0</v>
      </c>
      <c r="I103" s="67">
        <f t="shared" si="80"/>
        <v>0</v>
      </c>
      <c r="J103" s="67">
        <f t="shared" si="80"/>
        <v>0</v>
      </c>
      <c r="K103" s="67">
        <f t="shared" si="80"/>
        <v>0</v>
      </c>
      <c r="L103" s="67">
        <f t="shared" si="80"/>
        <v>0</v>
      </c>
      <c r="M103" s="67">
        <f t="shared" si="80"/>
        <v>0</v>
      </c>
      <c r="N103" s="67">
        <f t="shared" si="80"/>
        <v>0</v>
      </c>
      <c r="O103" s="67">
        <f t="shared" si="80"/>
        <v>0</v>
      </c>
      <c r="P103" s="68">
        <f t="shared" si="80"/>
        <v>-1</v>
      </c>
      <c r="Q103" s="67">
        <f t="shared" si="80"/>
        <v>0</v>
      </c>
      <c r="R103" s="67">
        <f t="shared" si="80"/>
        <v>0</v>
      </c>
      <c r="S103" s="67">
        <f t="shared" si="80"/>
        <v>0</v>
      </c>
      <c r="T103" s="67">
        <f t="shared" si="80"/>
        <v>0</v>
      </c>
      <c r="U103" s="67">
        <f t="shared" si="80"/>
        <v>0</v>
      </c>
      <c r="V103" s="67">
        <f t="shared" si="80"/>
        <v>0</v>
      </c>
      <c r="W103" s="67">
        <f t="shared" si="80"/>
        <v>0</v>
      </c>
      <c r="X103" s="67">
        <f t="shared" si="80"/>
        <v>0</v>
      </c>
      <c r="Y103" s="67">
        <f t="shared" si="80"/>
        <v>0</v>
      </c>
      <c r="Z103" s="67">
        <f t="shared" si="80"/>
        <v>0</v>
      </c>
      <c r="AA103" s="67">
        <f t="shared" si="80"/>
        <v>0</v>
      </c>
      <c r="AB103" s="67">
        <f t="shared" si="80"/>
        <v>0</v>
      </c>
      <c r="AC103" s="68">
        <f t="shared" si="80"/>
        <v>0</v>
      </c>
      <c r="AD103" s="67">
        <f t="shared" si="80"/>
        <v>0</v>
      </c>
      <c r="AE103" s="67">
        <f t="shared" si="80"/>
        <v>0</v>
      </c>
      <c r="AF103" s="67">
        <f t="shared" si="80"/>
        <v>0</v>
      </c>
      <c r="AG103" s="67">
        <f t="shared" si="80"/>
        <v>0</v>
      </c>
      <c r="AH103" s="67">
        <f t="shared" si="80"/>
        <v>0</v>
      </c>
      <c r="AI103" s="67">
        <f t="shared" si="80"/>
        <v>0</v>
      </c>
      <c r="AJ103" s="67">
        <f t="shared" ref="AJ103:BO103" si="81">SUM(AJ102:AJ102)</f>
        <v>0</v>
      </c>
      <c r="AK103" s="67">
        <f t="shared" si="81"/>
        <v>0</v>
      </c>
      <c r="AL103" s="67">
        <f t="shared" si="81"/>
        <v>0</v>
      </c>
      <c r="AM103" s="67">
        <f t="shared" si="81"/>
        <v>0</v>
      </c>
      <c r="AN103" s="67">
        <f t="shared" si="81"/>
        <v>0</v>
      </c>
      <c r="AO103" s="67">
        <f t="shared" si="81"/>
        <v>0</v>
      </c>
      <c r="AP103" s="68">
        <f t="shared" si="81"/>
        <v>0</v>
      </c>
      <c r="AQ103" s="67">
        <f t="shared" si="81"/>
        <v>0</v>
      </c>
      <c r="AR103" s="67">
        <f t="shared" si="81"/>
        <v>0</v>
      </c>
      <c r="AS103" s="67">
        <f t="shared" si="81"/>
        <v>0</v>
      </c>
      <c r="AT103" s="67">
        <f t="shared" si="81"/>
        <v>0</v>
      </c>
      <c r="AU103" s="67">
        <f t="shared" si="81"/>
        <v>0</v>
      </c>
      <c r="AV103" s="67">
        <f t="shared" si="81"/>
        <v>0</v>
      </c>
      <c r="AW103" s="67">
        <f t="shared" si="81"/>
        <v>0</v>
      </c>
      <c r="AX103" s="67">
        <f t="shared" si="81"/>
        <v>0</v>
      </c>
      <c r="AY103" s="67">
        <f t="shared" si="81"/>
        <v>0</v>
      </c>
      <c r="AZ103" s="67">
        <f t="shared" si="81"/>
        <v>0</v>
      </c>
      <c r="BA103" s="67">
        <f t="shared" si="81"/>
        <v>0</v>
      </c>
      <c r="BB103" s="67">
        <f t="shared" si="81"/>
        <v>0</v>
      </c>
      <c r="BC103" s="68">
        <f t="shared" si="81"/>
        <v>0</v>
      </c>
      <c r="BD103" s="67">
        <f t="shared" si="81"/>
        <v>0</v>
      </c>
      <c r="BE103" s="67">
        <f t="shared" si="81"/>
        <v>0</v>
      </c>
      <c r="BF103" s="67">
        <f t="shared" si="81"/>
        <v>0</v>
      </c>
      <c r="BG103" s="67">
        <f t="shared" si="81"/>
        <v>0</v>
      </c>
      <c r="BH103" s="67">
        <f t="shared" si="81"/>
        <v>0</v>
      </c>
      <c r="BI103" s="67">
        <f t="shared" si="81"/>
        <v>0</v>
      </c>
      <c r="BJ103" s="67">
        <f t="shared" si="81"/>
        <v>0</v>
      </c>
      <c r="BK103" s="67">
        <f t="shared" si="81"/>
        <v>0</v>
      </c>
      <c r="BL103" s="67">
        <f t="shared" si="81"/>
        <v>0</v>
      </c>
      <c r="BM103" s="67">
        <f t="shared" si="81"/>
        <v>0</v>
      </c>
      <c r="BN103" s="67">
        <f t="shared" si="81"/>
        <v>0</v>
      </c>
      <c r="BO103" s="67">
        <f t="shared" si="81"/>
        <v>0</v>
      </c>
      <c r="BP103" s="68">
        <f t="shared" ref="BP103:CU103" si="82">SUM(BP102:BP102)</f>
        <v>0</v>
      </c>
    </row>
    <row r="105" spans="1:68" s="8" customFormat="1" x14ac:dyDescent="0.25">
      <c r="A105" s="38" t="s">
        <v>129</v>
      </c>
      <c r="B105" s="39"/>
      <c r="C105" s="38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1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1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1"/>
      <c r="AQ105" s="42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1"/>
      <c r="BD105" s="40"/>
      <c r="BE105" s="40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1"/>
    </row>
    <row r="106" spans="1:68" x14ac:dyDescent="0.25">
      <c r="A106" t="s">
        <v>130</v>
      </c>
      <c r="B106" s="2" t="s">
        <v>131</v>
      </c>
      <c r="D106" s="3">
        <v>5000</v>
      </c>
      <c r="E106" s="3">
        <v>-1200</v>
      </c>
      <c r="F106" s="3">
        <v>0</v>
      </c>
      <c r="G106" s="3">
        <v>-800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4">
        <f>SUM(D106:O106)</f>
        <v>3000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4">
        <f>SUM(Q106:AB106)</f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4">
        <f>SUM(AD106:AO106)</f>
        <v>0</v>
      </c>
      <c r="AQ106" s="5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4">
        <f>SUM(AQ106:BB106)</f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4">
        <f>SUM(BD106:BO106)</f>
        <v>0</v>
      </c>
    </row>
    <row r="107" spans="1:68" s="10" customFormat="1" x14ac:dyDescent="0.25">
      <c r="A107" s="48" t="s">
        <v>20</v>
      </c>
      <c r="B107" s="49"/>
      <c r="C107" s="50" t="s">
        <v>132</v>
      </c>
      <c r="D107" s="51">
        <f t="shared" ref="D107:AI107" si="83">SUM(D106:D106)*-1</f>
        <v>-5000</v>
      </c>
      <c r="E107" s="51">
        <f t="shared" si="83"/>
        <v>1200</v>
      </c>
      <c r="F107" s="51">
        <f t="shared" si="83"/>
        <v>0</v>
      </c>
      <c r="G107" s="51">
        <f t="shared" si="83"/>
        <v>800</v>
      </c>
      <c r="H107" s="51">
        <f t="shared" si="83"/>
        <v>0</v>
      </c>
      <c r="I107" s="51">
        <f t="shared" si="83"/>
        <v>0</v>
      </c>
      <c r="J107" s="51">
        <f t="shared" si="83"/>
        <v>0</v>
      </c>
      <c r="K107" s="51">
        <f t="shared" si="83"/>
        <v>0</v>
      </c>
      <c r="L107" s="51">
        <f t="shared" si="83"/>
        <v>0</v>
      </c>
      <c r="M107" s="51">
        <f t="shared" si="83"/>
        <v>0</v>
      </c>
      <c r="N107" s="51">
        <f t="shared" si="83"/>
        <v>0</v>
      </c>
      <c r="O107" s="51">
        <f t="shared" si="83"/>
        <v>0</v>
      </c>
      <c r="P107" s="52">
        <f t="shared" si="83"/>
        <v>-3000</v>
      </c>
      <c r="Q107" s="51">
        <f t="shared" si="83"/>
        <v>0</v>
      </c>
      <c r="R107" s="51">
        <f t="shared" si="83"/>
        <v>0</v>
      </c>
      <c r="S107" s="51">
        <f t="shared" si="83"/>
        <v>0</v>
      </c>
      <c r="T107" s="51">
        <f t="shared" si="83"/>
        <v>0</v>
      </c>
      <c r="U107" s="51">
        <f t="shared" si="83"/>
        <v>0</v>
      </c>
      <c r="V107" s="51">
        <f t="shared" si="83"/>
        <v>0</v>
      </c>
      <c r="W107" s="51">
        <f t="shared" si="83"/>
        <v>0</v>
      </c>
      <c r="X107" s="51">
        <f t="shared" si="83"/>
        <v>0</v>
      </c>
      <c r="Y107" s="51">
        <f t="shared" si="83"/>
        <v>0</v>
      </c>
      <c r="Z107" s="51">
        <f t="shared" si="83"/>
        <v>0</v>
      </c>
      <c r="AA107" s="51">
        <f t="shared" si="83"/>
        <v>0</v>
      </c>
      <c r="AB107" s="51">
        <f t="shared" si="83"/>
        <v>0</v>
      </c>
      <c r="AC107" s="52">
        <f t="shared" si="83"/>
        <v>0</v>
      </c>
      <c r="AD107" s="51">
        <f t="shared" si="83"/>
        <v>0</v>
      </c>
      <c r="AE107" s="51">
        <f t="shared" si="83"/>
        <v>0</v>
      </c>
      <c r="AF107" s="51">
        <f t="shared" si="83"/>
        <v>0</v>
      </c>
      <c r="AG107" s="51">
        <f t="shared" si="83"/>
        <v>0</v>
      </c>
      <c r="AH107" s="51">
        <f t="shared" si="83"/>
        <v>0</v>
      </c>
      <c r="AI107" s="51">
        <f t="shared" si="83"/>
        <v>0</v>
      </c>
      <c r="AJ107" s="51">
        <f t="shared" ref="AJ107:BO107" si="84">SUM(AJ106:AJ106)*-1</f>
        <v>0</v>
      </c>
      <c r="AK107" s="51">
        <f t="shared" si="84"/>
        <v>0</v>
      </c>
      <c r="AL107" s="51">
        <f t="shared" si="84"/>
        <v>0</v>
      </c>
      <c r="AM107" s="51">
        <f t="shared" si="84"/>
        <v>0</v>
      </c>
      <c r="AN107" s="51">
        <f t="shared" si="84"/>
        <v>0</v>
      </c>
      <c r="AO107" s="51">
        <f t="shared" si="84"/>
        <v>0</v>
      </c>
      <c r="AP107" s="52">
        <f t="shared" si="84"/>
        <v>0</v>
      </c>
      <c r="AQ107" s="51">
        <f t="shared" si="84"/>
        <v>0</v>
      </c>
      <c r="AR107" s="51">
        <f t="shared" si="84"/>
        <v>0</v>
      </c>
      <c r="AS107" s="51">
        <f t="shared" si="84"/>
        <v>0</v>
      </c>
      <c r="AT107" s="51">
        <f t="shared" si="84"/>
        <v>0</v>
      </c>
      <c r="AU107" s="51">
        <f t="shared" si="84"/>
        <v>0</v>
      </c>
      <c r="AV107" s="51">
        <f t="shared" si="84"/>
        <v>0</v>
      </c>
      <c r="AW107" s="51">
        <f t="shared" si="84"/>
        <v>0</v>
      </c>
      <c r="AX107" s="51">
        <f t="shared" si="84"/>
        <v>0</v>
      </c>
      <c r="AY107" s="51">
        <f t="shared" si="84"/>
        <v>0</v>
      </c>
      <c r="AZ107" s="51">
        <f t="shared" si="84"/>
        <v>0</v>
      </c>
      <c r="BA107" s="51">
        <f t="shared" si="84"/>
        <v>0</v>
      </c>
      <c r="BB107" s="51">
        <f t="shared" si="84"/>
        <v>0</v>
      </c>
      <c r="BC107" s="52">
        <f t="shared" si="84"/>
        <v>0</v>
      </c>
      <c r="BD107" s="51">
        <f t="shared" si="84"/>
        <v>0</v>
      </c>
      <c r="BE107" s="51">
        <f t="shared" si="84"/>
        <v>0</v>
      </c>
      <c r="BF107" s="51">
        <f t="shared" si="84"/>
        <v>0</v>
      </c>
      <c r="BG107" s="51">
        <f t="shared" si="84"/>
        <v>0</v>
      </c>
      <c r="BH107" s="51">
        <f t="shared" si="84"/>
        <v>0</v>
      </c>
      <c r="BI107" s="51">
        <f t="shared" si="84"/>
        <v>0</v>
      </c>
      <c r="BJ107" s="51">
        <f t="shared" si="84"/>
        <v>0</v>
      </c>
      <c r="BK107" s="51">
        <f t="shared" si="84"/>
        <v>0</v>
      </c>
      <c r="BL107" s="51">
        <f t="shared" si="84"/>
        <v>0</v>
      </c>
      <c r="BM107" s="51">
        <f t="shared" si="84"/>
        <v>0</v>
      </c>
      <c r="BN107" s="51">
        <f t="shared" si="84"/>
        <v>0</v>
      </c>
      <c r="BO107" s="51">
        <f t="shared" si="84"/>
        <v>0</v>
      </c>
      <c r="BP107" s="52">
        <f t="shared" ref="BP107:CU107" si="85">SUM(BP106:BP106)*-1</f>
        <v>0</v>
      </c>
    </row>
    <row r="109" spans="1:68" s="11" customFormat="1" x14ac:dyDescent="0.25">
      <c r="A109" s="11" t="s">
        <v>107</v>
      </c>
      <c r="B109" s="53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5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5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5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  <c r="BB109" s="54"/>
      <c r="BC109" s="55"/>
      <c r="BD109" s="54"/>
      <c r="BE109" s="54"/>
      <c r="BF109" s="54"/>
      <c r="BG109" s="54"/>
      <c r="BH109" s="54"/>
      <c r="BI109" s="54"/>
      <c r="BJ109" s="54"/>
      <c r="BK109" s="54"/>
      <c r="BL109" s="54"/>
      <c r="BM109" s="54"/>
      <c r="BN109" s="54"/>
      <c r="BO109" s="54"/>
      <c r="BP109" s="55"/>
    </row>
    <row r="110" spans="1:68" customFormat="1" x14ac:dyDescent="0.25">
      <c r="A110" t="s">
        <v>112</v>
      </c>
      <c r="B110" s="2" t="s">
        <v>109</v>
      </c>
      <c r="D110" s="27">
        <f t="shared" ref="D110:AI110" si="86">D87</f>
        <v>0</v>
      </c>
      <c r="E110" s="27">
        <f t="shared" si="86"/>
        <v>0</v>
      </c>
      <c r="F110" s="27">
        <f t="shared" si="86"/>
        <v>0</v>
      </c>
      <c r="G110" s="27">
        <f t="shared" si="86"/>
        <v>0</v>
      </c>
      <c r="H110" s="27">
        <f t="shared" si="86"/>
        <v>0</v>
      </c>
      <c r="I110" s="27">
        <f t="shared" si="86"/>
        <v>0</v>
      </c>
      <c r="J110" s="27">
        <f t="shared" si="86"/>
        <v>0</v>
      </c>
      <c r="K110" s="27">
        <f t="shared" si="86"/>
        <v>0</v>
      </c>
      <c r="L110" s="27">
        <f t="shared" si="86"/>
        <v>0</v>
      </c>
      <c r="M110" s="27">
        <f t="shared" si="86"/>
        <v>0</v>
      </c>
      <c r="N110" s="27">
        <f t="shared" si="86"/>
        <v>0</v>
      </c>
      <c r="O110" s="27">
        <f t="shared" si="86"/>
        <v>0</v>
      </c>
      <c r="P110" s="4">
        <f t="shared" si="86"/>
        <v>0</v>
      </c>
      <c r="Q110" s="27">
        <f t="shared" si="86"/>
        <v>0</v>
      </c>
      <c r="R110" s="27">
        <f t="shared" si="86"/>
        <v>0</v>
      </c>
      <c r="S110" s="27">
        <f t="shared" si="86"/>
        <v>0</v>
      </c>
      <c r="T110" s="27">
        <f t="shared" si="86"/>
        <v>0</v>
      </c>
      <c r="U110" s="27">
        <f t="shared" si="86"/>
        <v>0</v>
      </c>
      <c r="V110" s="27">
        <f t="shared" si="86"/>
        <v>0</v>
      </c>
      <c r="W110" s="27">
        <f t="shared" si="86"/>
        <v>0</v>
      </c>
      <c r="X110" s="27">
        <f t="shared" si="86"/>
        <v>0</v>
      </c>
      <c r="Y110" s="27">
        <f t="shared" si="86"/>
        <v>0</v>
      </c>
      <c r="Z110" s="27">
        <f t="shared" si="86"/>
        <v>0</v>
      </c>
      <c r="AA110" s="27">
        <f t="shared" si="86"/>
        <v>0</v>
      </c>
      <c r="AB110" s="27">
        <f t="shared" si="86"/>
        <v>0</v>
      </c>
      <c r="AC110" s="4">
        <f t="shared" si="86"/>
        <v>0</v>
      </c>
      <c r="AD110" s="27">
        <f t="shared" si="86"/>
        <v>0</v>
      </c>
      <c r="AE110" s="27">
        <f t="shared" si="86"/>
        <v>0</v>
      </c>
      <c r="AF110" s="27">
        <f t="shared" si="86"/>
        <v>0</v>
      </c>
      <c r="AG110" s="27">
        <f t="shared" si="86"/>
        <v>0</v>
      </c>
      <c r="AH110" s="27">
        <f t="shared" si="86"/>
        <v>0</v>
      </c>
      <c r="AI110" s="27">
        <f t="shared" si="86"/>
        <v>0</v>
      </c>
      <c r="AJ110" s="27">
        <f t="shared" ref="AJ110:BP110" si="87">AJ87</f>
        <v>0</v>
      </c>
      <c r="AK110" s="27">
        <f t="shared" si="87"/>
        <v>0</v>
      </c>
      <c r="AL110" s="27">
        <f t="shared" si="87"/>
        <v>0</v>
      </c>
      <c r="AM110" s="27">
        <f t="shared" si="87"/>
        <v>0</v>
      </c>
      <c r="AN110" s="27">
        <f t="shared" si="87"/>
        <v>0</v>
      </c>
      <c r="AO110" s="27">
        <f t="shared" si="87"/>
        <v>0</v>
      </c>
      <c r="AP110" s="4">
        <f t="shared" si="87"/>
        <v>0</v>
      </c>
      <c r="AQ110" s="28">
        <f t="shared" si="87"/>
        <v>0</v>
      </c>
      <c r="AR110" s="27">
        <f t="shared" si="87"/>
        <v>0</v>
      </c>
      <c r="AS110" s="27">
        <f t="shared" si="87"/>
        <v>0</v>
      </c>
      <c r="AT110" s="27">
        <f t="shared" si="87"/>
        <v>0</v>
      </c>
      <c r="AU110" s="27">
        <f t="shared" si="87"/>
        <v>0</v>
      </c>
      <c r="AV110" s="27">
        <f t="shared" si="87"/>
        <v>0</v>
      </c>
      <c r="AW110" s="27">
        <f t="shared" si="87"/>
        <v>0</v>
      </c>
      <c r="AX110" s="27">
        <f t="shared" si="87"/>
        <v>0</v>
      </c>
      <c r="AY110" s="27">
        <f t="shared" si="87"/>
        <v>0</v>
      </c>
      <c r="AZ110" s="27">
        <f t="shared" si="87"/>
        <v>0</v>
      </c>
      <c r="BA110" s="27">
        <f t="shared" si="87"/>
        <v>0</v>
      </c>
      <c r="BB110" s="27">
        <f t="shared" si="87"/>
        <v>0</v>
      </c>
      <c r="BC110" s="4">
        <f t="shared" si="87"/>
        <v>0</v>
      </c>
      <c r="BD110" s="27">
        <f t="shared" si="87"/>
        <v>0</v>
      </c>
      <c r="BE110" s="27">
        <f t="shared" si="87"/>
        <v>0</v>
      </c>
      <c r="BF110" s="27">
        <f t="shared" si="87"/>
        <v>0</v>
      </c>
      <c r="BG110" s="27">
        <f t="shared" si="87"/>
        <v>0</v>
      </c>
      <c r="BH110" s="27">
        <f t="shared" si="87"/>
        <v>0</v>
      </c>
      <c r="BI110" s="27">
        <f t="shared" si="87"/>
        <v>0</v>
      </c>
      <c r="BJ110" s="27">
        <f t="shared" si="87"/>
        <v>0</v>
      </c>
      <c r="BK110" s="27">
        <f t="shared" si="87"/>
        <v>0</v>
      </c>
      <c r="BL110" s="27">
        <f t="shared" si="87"/>
        <v>0</v>
      </c>
      <c r="BM110" s="27">
        <f t="shared" si="87"/>
        <v>0</v>
      </c>
      <c r="BN110" s="27">
        <f t="shared" si="87"/>
        <v>0</v>
      </c>
      <c r="BO110" s="27">
        <f t="shared" si="87"/>
        <v>0</v>
      </c>
      <c r="BP110" s="4">
        <f t="shared" si="87"/>
        <v>0</v>
      </c>
    </row>
    <row r="111" spans="1:68" customFormat="1" x14ac:dyDescent="0.25">
      <c r="A111" t="s">
        <v>116</v>
      </c>
      <c r="B111" s="2" t="s">
        <v>113</v>
      </c>
      <c r="D111" s="27">
        <f t="shared" ref="D111:AI111" si="88">D91</f>
        <v>-3750.75</v>
      </c>
      <c r="E111" s="27">
        <f t="shared" si="88"/>
        <v>0</v>
      </c>
      <c r="F111" s="27">
        <f t="shared" si="88"/>
        <v>-3640.87</v>
      </c>
      <c r="G111" s="27">
        <f t="shared" si="88"/>
        <v>-9572.41</v>
      </c>
      <c r="H111" s="27">
        <f t="shared" si="88"/>
        <v>-3083.21</v>
      </c>
      <c r="I111" s="27">
        <f t="shared" si="88"/>
        <v>-13262.74</v>
      </c>
      <c r="J111" s="27">
        <f t="shared" si="88"/>
        <v>-7917.7</v>
      </c>
      <c r="K111" s="27">
        <f t="shared" si="88"/>
        <v>-9869.66</v>
      </c>
      <c r="L111" s="27">
        <f t="shared" si="88"/>
        <v>-12190.42</v>
      </c>
      <c r="M111" s="27">
        <f t="shared" si="88"/>
        <v>-20783.47</v>
      </c>
      <c r="N111" s="27">
        <f t="shared" si="88"/>
        <v>-16696.400000000001</v>
      </c>
      <c r="O111" s="27">
        <f t="shared" si="88"/>
        <v>-21769.439999999999</v>
      </c>
      <c r="P111" s="4">
        <f t="shared" si="88"/>
        <v>-122537.07</v>
      </c>
      <c r="Q111" s="27">
        <f t="shared" si="88"/>
        <v>-4997.45</v>
      </c>
      <c r="R111" s="27">
        <f t="shared" si="88"/>
        <v>-15451.24</v>
      </c>
      <c r="S111" s="27">
        <f t="shared" si="88"/>
        <v>-17231.400000000001</v>
      </c>
      <c r="T111" s="27">
        <f t="shared" si="88"/>
        <v>-23032.66</v>
      </c>
      <c r="U111" s="27">
        <f t="shared" si="88"/>
        <v>-13125.34</v>
      </c>
      <c r="V111" s="27">
        <f t="shared" si="88"/>
        <v>-24670.75</v>
      </c>
      <c r="W111" s="27">
        <f t="shared" si="88"/>
        <v>-20926.77</v>
      </c>
      <c r="X111" s="27">
        <f t="shared" si="88"/>
        <v>-14812.35</v>
      </c>
      <c r="Y111" s="27">
        <f t="shared" si="88"/>
        <v>-10492.88</v>
      </c>
      <c r="Z111" s="27">
        <f t="shared" si="88"/>
        <v>-53400.223610000001</v>
      </c>
      <c r="AA111" s="27">
        <f t="shared" si="88"/>
        <v>-10295.209999999999</v>
      </c>
      <c r="AB111" s="27">
        <f t="shared" si="88"/>
        <v>-20517.62</v>
      </c>
      <c r="AC111" s="4">
        <f t="shared" si="88"/>
        <v>-228953.89361</v>
      </c>
      <c r="AD111" s="27">
        <f t="shared" si="88"/>
        <v>-574.29</v>
      </c>
      <c r="AE111" s="27">
        <f t="shared" si="88"/>
        <v>-3074.83</v>
      </c>
      <c r="AF111" s="27">
        <f t="shared" si="88"/>
        <v>-12482.87</v>
      </c>
      <c r="AG111" s="27">
        <f t="shared" si="88"/>
        <v>-25876.18</v>
      </c>
      <c r="AH111" s="27">
        <f t="shared" si="88"/>
        <v>-5631.54</v>
      </c>
      <c r="AI111" s="27">
        <f t="shared" si="88"/>
        <v>-29334.29</v>
      </c>
      <c r="AJ111" s="27">
        <f t="shared" ref="AJ111:BP111" si="89">AJ91</f>
        <v>-14060.04</v>
      </c>
      <c r="AK111" s="27">
        <f t="shared" si="89"/>
        <v>-5790.11</v>
      </c>
      <c r="AL111" s="27">
        <f t="shared" si="89"/>
        <v>-8516.4500000000007</v>
      </c>
      <c r="AM111" s="27">
        <f t="shared" si="89"/>
        <v>-54247.070910000002</v>
      </c>
      <c r="AN111" s="27">
        <f t="shared" si="89"/>
        <v>-18379.82</v>
      </c>
      <c r="AO111" s="27">
        <f t="shared" si="89"/>
        <v>-19266.919999999998</v>
      </c>
      <c r="AP111" s="4">
        <f t="shared" si="89"/>
        <v>-197234.41091000004</v>
      </c>
      <c r="AQ111" s="28">
        <f t="shared" si="89"/>
        <v>0</v>
      </c>
      <c r="AR111" s="27">
        <f t="shared" si="89"/>
        <v>0</v>
      </c>
      <c r="AS111" s="27">
        <f t="shared" si="89"/>
        <v>0</v>
      </c>
      <c r="AT111" s="27">
        <f t="shared" si="89"/>
        <v>0</v>
      </c>
      <c r="AU111" s="27">
        <f t="shared" si="89"/>
        <v>0</v>
      </c>
      <c r="AV111" s="27">
        <f t="shared" si="89"/>
        <v>0</v>
      </c>
      <c r="AW111" s="27">
        <f t="shared" si="89"/>
        <v>0</v>
      </c>
      <c r="AX111" s="27">
        <f t="shared" si="89"/>
        <v>0</v>
      </c>
      <c r="AY111" s="27">
        <f t="shared" si="89"/>
        <v>0</v>
      </c>
      <c r="AZ111" s="27">
        <f t="shared" si="89"/>
        <v>0</v>
      </c>
      <c r="BA111" s="27">
        <f t="shared" si="89"/>
        <v>0</v>
      </c>
      <c r="BB111" s="27">
        <f t="shared" si="89"/>
        <v>0</v>
      </c>
      <c r="BC111" s="4">
        <f t="shared" si="89"/>
        <v>0</v>
      </c>
      <c r="BD111" s="27">
        <f t="shared" si="89"/>
        <v>0</v>
      </c>
      <c r="BE111" s="27">
        <f t="shared" si="89"/>
        <v>0</v>
      </c>
      <c r="BF111" s="27">
        <f t="shared" si="89"/>
        <v>0</v>
      </c>
      <c r="BG111" s="27">
        <f t="shared" si="89"/>
        <v>0</v>
      </c>
      <c r="BH111" s="27">
        <f t="shared" si="89"/>
        <v>0</v>
      </c>
      <c r="BI111" s="27">
        <f t="shared" si="89"/>
        <v>0</v>
      </c>
      <c r="BJ111" s="27">
        <f t="shared" si="89"/>
        <v>0</v>
      </c>
      <c r="BK111" s="27">
        <f t="shared" si="89"/>
        <v>0</v>
      </c>
      <c r="BL111" s="27">
        <f t="shared" si="89"/>
        <v>0</v>
      </c>
      <c r="BM111" s="27">
        <f t="shared" si="89"/>
        <v>0</v>
      </c>
      <c r="BN111" s="27">
        <f t="shared" si="89"/>
        <v>0</v>
      </c>
      <c r="BO111" s="27">
        <f t="shared" si="89"/>
        <v>0</v>
      </c>
      <c r="BP111" s="4">
        <f t="shared" si="89"/>
        <v>0</v>
      </c>
    </row>
    <row r="112" spans="1:68" customFormat="1" x14ac:dyDescent="0.25">
      <c r="A112" t="s">
        <v>120</v>
      </c>
      <c r="B112" s="2" t="s">
        <v>117</v>
      </c>
      <c r="D112" s="27">
        <f t="shared" ref="D112:AI112" si="90">D95</f>
        <v>3750.75</v>
      </c>
      <c r="E112" s="27">
        <f t="shared" si="90"/>
        <v>0</v>
      </c>
      <c r="F112" s="27">
        <f t="shared" si="90"/>
        <v>3640.87</v>
      </c>
      <c r="G112" s="27">
        <f t="shared" si="90"/>
        <v>9572.41</v>
      </c>
      <c r="H112" s="27">
        <f t="shared" si="90"/>
        <v>3083.21</v>
      </c>
      <c r="I112" s="27">
        <f t="shared" si="90"/>
        <v>13262.74</v>
      </c>
      <c r="J112" s="27">
        <f t="shared" si="90"/>
        <v>7917.7</v>
      </c>
      <c r="K112" s="27">
        <f t="shared" si="90"/>
        <v>9869.66</v>
      </c>
      <c r="L112" s="27">
        <f t="shared" si="90"/>
        <v>12190.42</v>
      </c>
      <c r="M112" s="27">
        <f t="shared" si="90"/>
        <v>20783.47</v>
      </c>
      <c r="N112" s="27">
        <f t="shared" si="90"/>
        <v>16696.400000000001</v>
      </c>
      <c r="O112" s="27">
        <f t="shared" si="90"/>
        <v>21769.439999999999</v>
      </c>
      <c r="P112" s="4">
        <f t="shared" si="90"/>
        <v>122537.07</v>
      </c>
      <c r="Q112" s="27">
        <f t="shared" si="90"/>
        <v>4997.45</v>
      </c>
      <c r="R112" s="27">
        <f t="shared" si="90"/>
        <v>15451.24</v>
      </c>
      <c r="S112" s="27">
        <f t="shared" si="90"/>
        <v>17231.400000000001</v>
      </c>
      <c r="T112" s="27">
        <f t="shared" si="90"/>
        <v>23032.66</v>
      </c>
      <c r="U112" s="27">
        <f t="shared" si="90"/>
        <v>13125.34</v>
      </c>
      <c r="V112" s="27">
        <f t="shared" si="90"/>
        <v>24670.75</v>
      </c>
      <c r="W112" s="27">
        <f t="shared" si="90"/>
        <v>20926.77</v>
      </c>
      <c r="X112" s="27">
        <f t="shared" si="90"/>
        <v>14812.35</v>
      </c>
      <c r="Y112" s="27">
        <f t="shared" si="90"/>
        <v>10492.88</v>
      </c>
      <c r="Z112" s="27">
        <f t="shared" si="90"/>
        <v>53400.223610000001</v>
      </c>
      <c r="AA112" s="27">
        <f t="shared" si="90"/>
        <v>10295.209999999999</v>
      </c>
      <c r="AB112" s="27">
        <f t="shared" si="90"/>
        <v>20517.62</v>
      </c>
      <c r="AC112" s="4">
        <f t="shared" si="90"/>
        <v>228953.89361</v>
      </c>
      <c r="AD112" s="27">
        <f t="shared" si="90"/>
        <v>574.29</v>
      </c>
      <c r="AE112" s="27">
        <f t="shared" si="90"/>
        <v>3074.83</v>
      </c>
      <c r="AF112" s="27">
        <f t="shared" si="90"/>
        <v>12482.87</v>
      </c>
      <c r="AG112" s="27">
        <f t="shared" si="90"/>
        <v>25876.18</v>
      </c>
      <c r="AH112" s="27">
        <f t="shared" si="90"/>
        <v>5631.54</v>
      </c>
      <c r="AI112" s="27">
        <f t="shared" si="90"/>
        <v>29334.29</v>
      </c>
      <c r="AJ112" s="27">
        <f t="shared" ref="AJ112:BP112" si="91">AJ95</f>
        <v>14060.04</v>
      </c>
      <c r="AK112" s="27">
        <f t="shared" si="91"/>
        <v>5790.11</v>
      </c>
      <c r="AL112" s="27">
        <f t="shared" si="91"/>
        <v>8516.4500000000007</v>
      </c>
      <c r="AM112" s="27">
        <f t="shared" si="91"/>
        <v>54247.070910000002</v>
      </c>
      <c r="AN112" s="27">
        <f t="shared" si="91"/>
        <v>18379.82</v>
      </c>
      <c r="AO112" s="27">
        <f t="shared" si="91"/>
        <v>19266.919999999998</v>
      </c>
      <c r="AP112" s="4">
        <f t="shared" si="91"/>
        <v>197234.41091000004</v>
      </c>
      <c r="AQ112" s="28">
        <f t="shared" si="91"/>
        <v>0</v>
      </c>
      <c r="AR112" s="27">
        <f t="shared" si="91"/>
        <v>0</v>
      </c>
      <c r="AS112" s="27">
        <f t="shared" si="91"/>
        <v>0</v>
      </c>
      <c r="AT112" s="27">
        <f t="shared" si="91"/>
        <v>0</v>
      </c>
      <c r="AU112" s="27">
        <f t="shared" si="91"/>
        <v>0</v>
      </c>
      <c r="AV112" s="27">
        <f t="shared" si="91"/>
        <v>0</v>
      </c>
      <c r="AW112" s="27">
        <f t="shared" si="91"/>
        <v>0</v>
      </c>
      <c r="AX112" s="27">
        <f t="shared" si="91"/>
        <v>0</v>
      </c>
      <c r="AY112" s="27">
        <f t="shared" si="91"/>
        <v>0</v>
      </c>
      <c r="AZ112" s="27">
        <f t="shared" si="91"/>
        <v>0</v>
      </c>
      <c r="BA112" s="27">
        <f t="shared" si="91"/>
        <v>0</v>
      </c>
      <c r="BB112" s="27">
        <f t="shared" si="91"/>
        <v>0</v>
      </c>
      <c r="BC112" s="4">
        <f t="shared" si="91"/>
        <v>0</v>
      </c>
      <c r="BD112" s="27">
        <f t="shared" si="91"/>
        <v>0</v>
      </c>
      <c r="BE112" s="27">
        <f t="shared" si="91"/>
        <v>0</v>
      </c>
      <c r="BF112" s="27">
        <f t="shared" si="91"/>
        <v>0</v>
      </c>
      <c r="BG112" s="27">
        <f t="shared" si="91"/>
        <v>0</v>
      </c>
      <c r="BH112" s="27">
        <f t="shared" si="91"/>
        <v>0</v>
      </c>
      <c r="BI112" s="27">
        <f t="shared" si="91"/>
        <v>0</v>
      </c>
      <c r="BJ112" s="27">
        <f t="shared" si="91"/>
        <v>0</v>
      </c>
      <c r="BK112" s="27">
        <f t="shared" si="91"/>
        <v>0</v>
      </c>
      <c r="BL112" s="27">
        <f t="shared" si="91"/>
        <v>0</v>
      </c>
      <c r="BM112" s="27">
        <f t="shared" si="91"/>
        <v>0</v>
      </c>
      <c r="BN112" s="27">
        <f t="shared" si="91"/>
        <v>0</v>
      </c>
      <c r="BO112" s="27">
        <f t="shared" si="91"/>
        <v>0</v>
      </c>
      <c r="BP112" s="4">
        <f t="shared" si="91"/>
        <v>0</v>
      </c>
    </row>
    <row r="113" spans="1:68" customFormat="1" x14ac:dyDescent="0.25">
      <c r="A113" t="s">
        <v>124</v>
      </c>
      <c r="B113" s="2" t="s">
        <v>121</v>
      </c>
      <c r="D113" s="27">
        <f t="shared" ref="D113:AI113" si="92">D99</f>
        <v>0</v>
      </c>
      <c r="E113" s="27">
        <f t="shared" si="92"/>
        <v>0</v>
      </c>
      <c r="F113" s="27">
        <f t="shared" si="92"/>
        <v>0</v>
      </c>
      <c r="G113" s="27">
        <f t="shared" si="92"/>
        <v>0</v>
      </c>
      <c r="H113" s="27">
        <f t="shared" si="92"/>
        <v>0</v>
      </c>
      <c r="I113" s="27">
        <f t="shared" si="92"/>
        <v>0</v>
      </c>
      <c r="J113" s="27">
        <f t="shared" si="92"/>
        <v>0</v>
      </c>
      <c r="K113" s="27">
        <f t="shared" si="92"/>
        <v>0</v>
      </c>
      <c r="L113" s="27">
        <f t="shared" si="92"/>
        <v>0</v>
      </c>
      <c r="M113" s="27">
        <f t="shared" si="92"/>
        <v>0</v>
      </c>
      <c r="N113" s="27">
        <f t="shared" si="92"/>
        <v>0</v>
      </c>
      <c r="O113" s="27">
        <f t="shared" si="92"/>
        <v>0</v>
      </c>
      <c r="P113" s="4">
        <f t="shared" si="92"/>
        <v>0</v>
      </c>
      <c r="Q113" s="27">
        <f t="shared" si="92"/>
        <v>0</v>
      </c>
      <c r="R113" s="27">
        <f t="shared" si="92"/>
        <v>0</v>
      </c>
      <c r="S113" s="27">
        <f t="shared" si="92"/>
        <v>0</v>
      </c>
      <c r="T113" s="27">
        <f t="shared" si="92"/>
        <v>0</v>
      </c>
      <c r="U113" s="27">
        <f t="shared" si="92"/>
        <v>0</v>
      </c>
      <c r="V113" s="27">
        <f t="shared" si="92"/>
        <v>0</v>
      </c>
      <c r="W113" s="27">
        <f t="shared" si="92"/>
        <v>0</v>
      </c>
      <c r="X113" s="27">
        <f t="shared" si="92"/>
        <v>0</v>
      </c>
      <c r="Y113" s="27">
        <f t="shared" si="92"/>
        <v>0</v>
      </c>
      <c r="Z113" s="27">
        <f t="shared" si="92"/>
        <v>0</v>
      </c>
      <c r="AA113" s="27">
        <f t="shared" si="92"/>
        <v>0</v>
      </c>
      <c r="AB113" s="27">
        <f t="shared" si="92"/>
        <v>0</v>
      </c>
      <c r="AC113" s="4">
        <f t="shared" si="92"/>
        <v>0</v>
      </c>
      <c r="AD113" s="27">
        <f t="shared" si="92"/>
        <v>0</v>
      </c>
      <c r="AE113" s="27">
        <f t="shared" si="92"/>
        <v>0</v>
      </c>
      <c r="AF113" s="27">
        <f t="shared" si="92"/>
        <v>0</v>
      </c>
      <c r="AG113" s="27">
        <f t="shared" si="92"/>
        <v>0</v>
      </c>
      <c r="AH113" s="27">
        <f t="shared" si="92"/>
        <v>0</v>
      </c>
      <c r="AI113" s="27">
        <f t="shared" si="92"/>
        <v>0</v>
      </c>
      <c r="AJ113" s="27">
        <f t="shared" ref="AJ113:BP113" si="93">AJ99</f>
        <v>0</v>
      </c>
      <c r="AK113" s="27">
        <f t="shared" si="93"/>
        <v>0</v>
      </c>
      <c r="AL113" s="27">
        <f t="shared" si="93"/>
        <v>0</v>
      </c>
      <c r="AM113" s="27">
        <f t="shared" si="93"/>
        <v>0</v>
      </c>
      <c r="AN113" s="27">
        <f t="shared" si="93"/>
        <v>0</v>
      </c>
      <c r="AO113" s="27">
        <f t="shared" si="93"/>
        <v>0</v>
      </c>
      <c r="AP113" s="4">
        <f t="shared" si="93"/>
        <v>0</v>
      </c>
      <c r="AQ113" s="28">
        <f t="shared" si="93"/>
        <v>0</v>
      </c>
      <c r="AR113" s="27">
        <f t="shared" si="93"/>
        <v>0</v>
      </c>
      <c r="AS113" s="27">
        <f t="shared" si="93"/>
        <v>0</v>
      </c>
      <c r="AT113" s="27">
        <f t="shared" si="93"/>
        <v>0</v>
      </c>
      <c r="AU113" s="27">
        <f t="shared" si="93"/>
        <v>0</v>
      </c>
      <c r="AV113" s="27">
        <f t="shared" si="93"/>
        <v>0</v>
      </c>
      <c r="AW113" s="27">
        <f t="shared" si="93"/>
        <v>0</v>
      </c>
      <c r="AX113" s="27">
        <f t="shared" si="93"/>
        <v>0</v>
      </c>
      <c r="AY113" s="27">
        <f t="shared" si="93"/>
        <v>0</v>
      </c>
      <c r="AZ113" s="27">
        <f t="shared" si="93"/>
        <v>0</v>
      </c>
      <c r="BA113" s="27">
        <f t="shared" si="93"/>
        <v>0</v>
      </c>
      <c r="BB113" s="27">
        <f t="shared" si="93"/>
        <v>0</v>
      </c>
      <c r="BC113" s="4">
        <f t="shared" si="93"/>
        <v>0</v>
      </c>
      <c r="BD113" s="27">
        <f t="shared" si="93"/>
        <v>0</v>
      </c>
      <c r="BE113" s="27">
        <f t="shared" si="93"/>
        <v>0</v>
      </c>
      <c r="BF113" s="27">
        <f t="shared" si="93"/>
        <v>0</v>
      </c>
      <c r="BG113" s="27">
        <f t="shared" si="93"/>
        <v>0</v>
      </c>
      <c r="BH113" s="27">
        <f t="shared" si="93"/>
        <v>0</v>
      </c>
      <c r="BI113" s="27">
        <f t="shared" si="93"/>
        <v>0</v>
      </c>
      <c r="BJ113" s="27">
        <f t="shared" si="93"/>
        <v>0</v>
      </c>
      <c r="BK113" s="27">
        <f t="shared" si="93"/>
        <v>0</v>
      </c>
      <c r="BL113" s="27">
        <f t="shared" si="93"/>
        <v>0</v>
      </c>
      <c r="BM113" s="27">
        <f t="shared" si="93"/>
        <v>0</v>
      </c>
      <c r="BN113" s="27">
        <f t="shared" si="93"/>
        <v>0</v>
      </c>
      <c r="BO113" s="27">
        <f t="shared" si="93"/>
        <v>0</v>
      </c>
      <c r="BP113" s="4">
        <f t="shared" si="93"/>
        <v>0</v>
      </c>
    </row>
    <row r="114" spans="1:68" customFormat="1" x14ac:dyDescent="0.25">
      <c r="A114" t="s">
        <v>128</v>
      </c>
      <c r="B114" s="2" t="s">
        <v>125</v>
      </c>
      <c r="D114" s="27">
        <f t="shared" ref="D114:AI114" si="94">D103</f>
        <v>-1</v>
      </c>
      <c r="E114" s="27">
        <f t="shared" si="94"/>
        <v>0</v>
      </c>
      <c r="F114" s="27">
        <f t="shared" si="94"/>
        <v>0</v>
      </c>
      <c r="G114" s="27">
        <f t="shared" si="94"/>
        <v>0</v>
      </c>
      <c r="H114" s="27">
        <f t="shared" si="94"/>
        <v>0</v>
      </c>
      <c r="I114" s="27">
        <f t="shared" si="94"/>
        <v>0</v>
      </c>
      <c r="J114" s="27">
        <f t="shared" si="94"/>
        <v>0</v>
      </c>
      <c r="K114" s="27">
        <f t="shared" si="94"/>
        <v>0</v>
      </c>
      <c r="L114" s="27">
        <f t="shared" si="94"/>
        <v>0</v>
      </c>
      <c r="M114" s="27">
        <f t="shared" si="94"/>
        <v>0</v>
      </c>
      <c r="N114" s="27">
        <f t="shared" si="94"/>
        <v>0</v>
      </c>
      <c r="O114" s="27">
        <f t="shared" si="94"/>
        <v>0</v>
      </c>
      <c r="P114" s="4">
        <f t="shared" si="94"/>
        <v>-1</v>
      </c>
      <c r="Q114" s="27">
        <f t="shared" si="94"/>
        <v>0</v>
      </c>
      <c r="R114" s="27">
        <f t="shared" si="94"/>
        <v>0</v>
      </c>
      <c r="S114" s="27">
        <f t="shared" si="94"/>
        <v>0</v>
      </c>
      <c r="T114" s="27">
        <f t="shared" si="94"/>
        <v>0</v>
      </c>
      <c r="U114" s="27">
        <f t="shared" si="94"/>
        <v>0</v>
      </c>
      <c r="V114" s="27">
        <f t="shared" si="94"/>
        <v>0</v>
      </c>
      <c r="W114" s="27">
        <f t="shared" si="94"/>
        <v>0</v>
      </c>
      <c r="X114" s="27">
        <f t="shared" si="94"/>
        <v>0</v>
      </c>
      <c r="Y114" s="27">
        <f t="shared" si="94"/>
        <v>0</v>
      </c>
      <c r="Z114" s="27">
        <f t="shared" si="94"/>
        <v>0</v>
      </c>
      <c r="AA114" s="27">
        <f t="shared" si="94"/>
        <v>0</v>
      </c>
      <c r="AB114" s="27">
        <f t="shared" si="94"/>
        <v>0</v>
      </c>
      <c r="AC114" s="4">
        <f t="shared" si="94"/>
        <v>0</v>
      </c>
      <c r="AD114" s="27">
        <f t="shared" si="94"/>
        <v>0</v>
      </c>
      <c r="AE114" s="27">
        <f t="shared" si="94"/>
        <v>0</v>
      </c>
      <c r="AF114" s="27">
        <f t="shared" si="94"/>
        <v>0</v>
      </c>
      <c r="AG114" s="27">
        <f t="shared" si="94"/>
        <v>0</v>
      </c>
      <c r="AH114" s="27">
        <f t="shared" si="94"/>
        <v>0</v>
      </c>
      <c r="AI114" s="27">
        <f t="shared" si="94"/>
        <v>0</v>
      </c>
      <c r="AJ114" s="27">
        <f t="shared" ref="AJ114:BP114" si="95">AJ103</f>
        <v>0</v>
      </c>
      <c r="AK114" s="27">
        <f t="shared" si="95"/>
        <v>0</v>
      </c>
      <c r="AL114" s="27">
        <f t="shared" si="95"/>
        <v>0</v>
      </c>
      <c r="AM114" s="27">
        <f t="shared" si="95"/>
        <v>0</v>
      </c>
      <c r="AN114" s="27">
        <f t="shared" si="95"/>
        <v>0</v>
      </c>
      <c r="AO114" s="27">
        <f t="shared" si="95"/>
        <v>0</v>
      </c>
      <c r="AP114" s="4">
        <f t="shared" si="95"/>
        <v>0</v>
      </c>
      <c r="AQ114" s="28">
        <f t="shared" si="95"/>
        <v>0</v>
      </c>
      <c r="AR114" s="27">
        <f t="shared" si="95"/>
        <v>0</v>
      </c>
      <c r="AS114" s="27">
        <f t="shared" si="95"/>
        <v>0</v>
      </c>
      <c r="AT114" s="27">
        <f t="shared" si="95"/>
        <v>0</v>
      </c>
      <c r="AU114" s="27">
        <f t="shared" si="95"/>
        <v>0</v>
      </c>
      <c r="AV114" s="27">
        <f t="shared" si="95"/>
        <v>0</v>
      </c>
      <c r="AW114" s="27">
        <f t="shared" si="95"/>
        <v>0</v>
      </c>
      <c r="AX114" s="27">
        <f t="shared" si="95"/>
        <v>0</v>
      </c>
      <c r="AY114" s="27">
        <f t="shared" si="95"/>
        <v>0</v>
      </c>
      <c r="AZ114" s="27">
        <f t="shared" si="95"/>
        <v>0</v>
      </c>
      <c r="BA114" s="27">
        <f t="shared" si="95"/>
        <v>0</v>
      </c>
      <c r="BB114" s="27">
        <f t="shared" si="95"/>
        <v>0</v>
      </c>
      <c r="BC114" s="4">
        <f t="shared" si="95"/>
        <v>0</v>
      </c>
      <c r="BD114" s="27">
        <f t="shared" si="95"/>
        <v>0</v>
      </c>
      <c r="BE114" s="27">
        <f t="shared" si="95"/>
        <v>0</v>
      </c>
      <c r="BF114" s="27">
        <f t="shared" si="95"/>
        <v>0</v>
      </c>
      <c r="BG114" s="27">
        <f t="shared" si="95"/>
        <v>0</v>
      </c>
      <c r="BH114" s="27">
        <f t="shared" si="95"/>
        <v>0</v>
      </c>
      <c r="BI114" s="27">
        <f t="shared" si="95"/>
        <v>0</v>
      </c>
      <c r="BJ114" s="27">
        <f t="shared" si="95"/>
        <v>0</v>
      </c>
      <c r="BK114" s="27">
        <f t="shared" si="95"/>
        <v>0</v>
      </c>
      <c r="BL114" s="27">
        <f t="shared" si="95"/>
        <v>0</v>
      </c>
      <c r="BM114" s="27">
        <f t="shared" si="95"/>
        <v>0</v>
      </c>
      <c r="BN114" s="27">
        <f t="shared" si="95"/>
        <v>0</v>
      </c>
      <c r="BO114" s="27">
        <f t="shared" si="95"/>
        <v>0</v>
      </c>
      <c r="BP114" s="4">
        <f t="shared" si="95"/>
        <v>0</v>
      </c>
    </row>
    <row r="115" spans="1:68" s="12" customFormat="1" x14ac:dyDescent="0.25">
      <c r="A115" s="12" t="s">
        <v>132</v>
      </c>
      <c r="B115" s="56" t="s">
        <v>129</v>
      </c>
      <c r="D115" s="57">
        <f t="shared" ref="D115:AI115" si="96">D107</f>
        <v>-5000</v>
      </c>
      <c r="E115" s="57">
        <f t="shared" si="96"/>
        <v>1200</v>
      </c>
      <c r="F115" s="57">
        <f t="shared" si="96"/>
        <v>0</v>
      </c>
      <c r="G115" s="57">
        <f t="shared" si="96"/>
        <v>800</v>
      </c>
      <c r="H115" s="57">
        <f t="shared" si="96"/>
        <v>0</v>
      </c>
      <c r="I115" s="57">
        <f t="shared" si="96"/>
        <v>0</v>
      </c>
      <c r="J115" s="57">
        <f t="shared" si="96"/>
        <v>0</v>
      </c>
      <c r="K115" s="57">
        <f t="shared" si="96"/>
        <v>0</v>
      </c>
      <c r="L115" s="57">
        <f t="shared" si="96"/>
        <v>0</v>
      </c>
      <c r="M115" s="57">
        <f t="shared" si="96"/>
        <v>0</v>
      </c>
      <c r="N115" s="57">
        <f t="shared" si="96"/>
        <v>0</v>
      </c>
      <c r="O115" s="57">
        <f t="shared" si="96"/>
        <v>0</v>
      </c>
      <c r="P115" s="58">
        <f t="shared" si="96"/>
        <v>-3000</v>
      </c>
      <c r="Q115" s="57">
        <f t="shared" si="96"/>
        <v>0</v>
      </c>
      <c r="R115" s="57">
        <f t="shared" si="96"/>
        <v>0</v>
      </c>
      <c r="S115" s="57">
        <f t="shared" si="96"/>
        <v>0</v>
      </c>
      <c r="T115" s="57">
        <f t="shared" si="96"/>
        <v>0</v>
      </c>
      <c r="U115" s="57">
        <f t="shared" si="96"/>
        <v>0</v>
      </c>
      <c r="V115" s="57">
        <f t="shared" si="96"/>
        <v>0</v>
      </c>
      <c r="W115" s="57">
        <f t="shared" si="96"/>
        <v>0</v>
      </c>
      <c r="X115" s="57">
        <f t="shared" si="96"/>
        <v>0</v>
      </c>
      <c r="Y115" s="57">
        <f t="shared" si="96"/>
        <v>0</v>
      </c>
      <c r="Z115" s="57">
        <f t="shared" si="96"/>
        <v>0</v>
      </c>
      <c r="AA115" s="57">
        <f t="shared" si="96"/>
        <v>0</v>
      </c>
      <c r="AB115" s="57">
        <f t="shared" si="96"/>
        <v>0</v>
      </c>
      <c r="AC115" s="58">
        <f t="shared" si="96"/>
        <v>0</v>
      </c>
      <c r="AD115" s="57">
        <f t="shared" si="96"/>
        <v>0</v>
      </c>
      <c r="AE115" s="57">
        <f t="shared" si="96"/>
        <v>0</v>
      </c>
      <c r="AF115" s="57">
        <f t="shared" si="96"/>
        <v>0</v>
      </c>
      <c r="AG115" s="57">
        <f t="shared" si="96"/>
        <v>0</v>
      </c>
      <c r="AH115" s="57">
        <f t="shared" si="96"/>
        <v>0</v>
      </c>
      <c r="AI115" s="57">
        <f t="shared" si="96"/>
        <v>0</v>
      </c>
      <c r="AJ115" s="57">
        <f t="shared" ref="AJ115:BP115" si="97">AJ107</f>
        <v>0</v>
      </c>
      <c r="AK115" s="57">
        <f t="shared" si="97"/>
        <v>0</v>
      </c>
      <c r="AL115" s="57">
        <f t="shared" si="97"/>
        <v>0</v>
      </c>
      <c r="AM115" s="57">
        <f t="shared" si="97"/>
        <v>0</v>
      </c>
      <c r="AN115" s="57">
        <f t="shared" si="97"/>
        <v>0</v>
      </c>
      <c r="AO115" s="57">
        <f t="shared" si="97"/>
        <v>0</v>
      </c>
      <c r="AP115" s="58">
        <f t="shared" si="97"/>
        <v>0</v>
      </c>
      <c r="AQ115" s="59">
        <f t="shared" si="97"/>
        <v>0</v>
      </c>
      <c r="AR115" s="57">
        <f t="shared" si="97"/>
        <v>0</v>
      </c>
      <c r="AS115" s="57">
        <f t="shared" si="97"/>
        <v>0</v>
      </c>
      <c r="AT115" s="57">
        <f t="shared" si="97"/>
        <v>0</v>
      </c>
      <c r="AU115" s="57">
        <f t="shared" si="97"/>
        <v>0</v>
      </c>
      <c r="AV115" s="57">
        <f t="shared" si="97"/>
        <v>0</v>
      </c>
      <c r="AW115" s="57">
        <f t="shared" si="97"/>
        <v>0</v>
      </c>
      <c r="AX115" s="57">
        <f t="shared" si="97"/>
        <v>0</v>
      </c>
      <c r="AY115" s="57">
        <f t="shared" si="97"/>
        <v>0</v>
      </c>
      <c r="AZ115" s="57">
        <f t="shared" si="97"/>
        <v>0</v>
      </c>
      <c r="BA115" s="57">
        <f t="shared" si="97"/>
        <v>0</v>
      </c>
      <c r="BB115" s="57">
        <f t="shared" si="97"/>
        <v>0</v>
      </c>
      <c r="BC115" s="58">
        <f t="shared" si="97"/>
        <v>0</v>
      </c>
      <c r="BD115" s="57">
        <f t="shared" si="97"/>
        <v>0</v>
      </c>
      <c r="BE115" s="57">
        <f t="shared" si="97"/>
        <v>0</v>
      </c>
      <c r="BF115" s="57">
        <f t="shared" si="97"/>
        <v>0</v>
      </c>
      <c r="BG115" s="57">
        <f t="shared" si="97"/>
        <v>0</v>
      </c>
      <c r="BH115" s="57">
        <f t="shared" si="97"/>
        <v>0</v>
      </c>
      <c r="BI115" s="57">
        <f t="shared" si="97"/>
        <v>0</v>
      </c>
      <c r="BJ115" s="57">
        <f t="shared" si="97"/>
        <v>0</v>
      </c>
      <c r="BK115" s="57">
        <f t="shared" si="97"/>
        <v>0</v>
      </c>
      <c r="BL115" s="57">
        <f t="shared" si="97"/>
        <v>0</v>
      </c>
      <c r="BM115" s="57">
        <f t="shared" si="97"/>
        <v>0</v>
      </c>
      <c r="BN115" s="57">
        <f t="shared" si="97"/>
        <v>0</v>
      </c>
      <c r="BO115" s="57">
        <f t="shared" si="97"/>
        <v>0</v>
      </c>
      <c r="BP115" s="58">
        <f t="shared" si="97"/>
        <v>0</v>
      </c>
    </row>
    <row r="116" spans="1:68" s="13" customFormat="1" x14ac:dyDescent="0.25">
      <c r="A116" s="13" t="s">
        <v>108</v>
      </c>
      <c r="B116" s="60"/>
      <c r="D116" s="61">
        <f t="shared" ref="D116:AI116" si="98">SUM(D110:D115)</f>
        <v>-5001</v>
      </c>
      <c r="E116" s="61">
        <f t="shared" si="98"/>
        <v>1200</v>
      </c>
      <c r="F116" s="61">
        <f t="shared" si="98"/>
        <v>0</v>
      </c>
      <c r="G116" s="61">
        <f t="shared" si="98"/>
        <v>800</v>
      </c>
      <c r="H116" s="61">
        <f t="shared" si="98"/>
        <v>0</v>
      </c>
      <c r="I116" s="61">
        <f t="shared" si="98"/>
        <v>0</v>
      </c>
      <c r="J116" s="61">
        <f t="shared" si="98"/>
        <v>0</v>
      </c>
      <c r="K116" s="61">
        <f t="shared" si="98"/>
        <v>0</v>
      </c>
      <c r="L116" s="61">
        <f t="shared" si="98"/>
        <v>0</v>
      </c>
      <c r="M116" s="61">
        <f t="shared" si="98"/>
        <v>0</v>
      </c>
      <c r="N116" s="61">
        <f t="shared" si="98"/>
        <v>0</v>
      </c>
      <c r="O116" s="61">
        <f t="shared" si="98"/>
        <v>0</v>
      </c>
      <c r="P116" s="62">
        <f t="shared" si="98"/>
        <v>-3001</v>
      </c>
      <c r="Q116" s="61">
        <f t="shared" si="98"/>
        <v>0</v>
      </c>
      <c r="R116" s="61">
        <f t="shared" si="98"/>
        <v>0</v>
      </c>
      <c r="S116" s="61">
        <f t="shared" si="98"/>
        <v>0</v>
      </c>
      <c r="T116" s="61">
        <f t="shared" si="98"/>
        <v>0</v>
      </c>
      <c r="U116" s="61">
        <f t="shared" si="98"/>
        <v>0</v>
      </c>
      <c r="V116" s="61">
        <f t="shared" si="98"/>
        <v>0</v>
      </c>
      <c r="W116" s="61">
        <f t="shared" si="98"/>
        <v>0</v>
      </c>
      <c r="X116" s="61">
        <f t="shared" si="98"/>
        <v>0</v>
      </c>
      <c r="Y116" s="61">
        <f t="shared" si="98"/>
        <v>0</v>
      </c>
      <c r="Z116" s="61">
        <f t="shared" si="98"/>
        <v>0</v>
      </c>
      <c r="AA116" s="61">
        <f t="shared" si="98"/>
        <v>0</v>
      </c>
      <c r="AB116" s="61">
        <f t="shared" si="98"/>
        <v>0</v>
      </c>
      <c r="AC116" s="62">
        <f t="shared" si="98"/>
        <v>0</v>
      </c>
      <c r="AD116" s="61">
        <f t="shared" si="98"/>
        <v>0</v>
      </c>
      <c r="AE116" s="61">
        <f t="shared" si="98"/>
        <v>0</v>
      </c>
      <c r="AF116" s="61">
        <f t="shared" si="98"/>
        <v>0</v>
      </c>
      <c r="AG116" s="61">
        <f t="shared" si="98"/>
        <v>0</v>
      </c>
      <c r="AH116" s="61">
        <f t="shared" si="98"/>
        <v>0</v>
      </c>
      <c r="AI116" s="61">
        <f t="shared" si="98"/>
        <v>0</v>
      </c>
      <c r="AJ116" s="61">
        <f t="shared" ref="AJ116:BO116" si="99">SUM(AJ110:AJ115)</f>
        <v>0</v>
      </c>
      <c r="AK116" s="61">
        <f t="shared" si="99"/>
        <v>0</v>
      </c>
      <c r="AL116" s="61">
        <f t="shared" si="99"/>
        <v>0</v>
      </c>
      <c r="AM116" s="61">
        <f t="shared" si="99"/>
        <v>0</v>
      </c>
      <c r="AN116" s="61">
        <f t="shared" si="99"/>
        <v>0</v>
      </c>
      <c r="AO116" s="61">
        <f t="shared" si="99"/>
        <v>0</v>
      </c>
      <c r="AP116" s="62">
        <f t="shared" si="99"/>
        <v>0</v>
      </c>
      <c r="AQ116" s="63">
        <f t="shared" si="99"/>
        <v>0</v>
      </c>
      <c r="AR116" s="61">
        <f t="shared" si="99"/>
        <v>0</v>
      </c>
      <c r="AS116" s="61">
        <f t="shared" si="99"/>
        <v>0</v>
      </c>
      <c r="AT116" s="61">
        <f t="shared" si="99"/>
        <v>0</v>
      </c>
      <c r="AU116" s="61">
        <f t="shared" si="99"/>
        <v>0</v>
      </c>
      <c r="AV116" s="61">
        <f t="shared" si="99"/>
        <v>0</v>
      </c>
      <c r="AW116" s="61">
        <f t="shared" si="99"/>
        <v>0</v>
      </c>
      <c r="AX116" s="61">
        <f t="shared" si="99"/>
        <v>0</v>
      </c>
      <c r="AY116" s="61">
        <f t="shared" si="99"/>
        <v>0</v>
      </c>
      <c r="AZ116" s="61">
        <f t="shared" si="99"/>
        <v>0</v>
      </c>
      <c r="BA116" s="61">
        <f t="shared" si="99"/>
        <v>0</v>
      </c>
      <c r="BB116" s="61">
        <f t="shared" si="99"/>
        <v>0</v>
      </c>
      <c r="BC116" s="62">
        <f t="shared" si="99"/>
        <v>0</v>
      </c>
      <c r="BD116" s="61">
        <f t="shared" si="99"/>
        <v>0</v>
      </c>
      <c r="BE116" s="61">
        <f t="shared" si="99"/>
        <v>0</v>
      </c>
      <c r="BF116" s="61">
        <f t="shared" si="99"/>
        <v>0</v>
      </c>
      <c r="BG116" s="61">
        <f t="shared" si="99"/>
        <v>0</v>
      </c>
      <c r="BH116" s="61">
        <f t="shared" si="99"/>
        <v>0</v>
      </c>
      <c r="BI116" s="61">
        <f t="shared" si="99"/>
        <v>0</v>
      </c>
      <c r="BJ116" s="61">
        <f t="shared" si="99"/>
        <v>0</v>
      </c>
      <c r="BK116" s="61">
        <f t="shared" si="99"/>
        <v>0</v>
      </c>
      <c r="BL116" s="61">
        <f t="shared" si="99"/>
        <v>0</v>
      </c>
      <c r="BM116" s="61">
        <f t="shared" si="99"/>
        <v>0</v>
      </c>
      <c r="BN116" s="61">
        <f t="shared" si="99"/>
        <v>0</v>
      </c>
      <c r="BO116" s="61">
        <f t="shared" si="99"/>
        <v>0</v>
      </c>
      <c r="BP116" s="62">
        <f t="shared" ref="BP116:CU116" si="100">SUM(BP110:BP115)</f>
        <v>0</v>
      </c>
    </row>
    <row r="118" spans="1:68" s="15" customFormat="1" x14ac:dyDescent="0.25">
      <c r="A118" s="69" t="s">
        <v>133</v>
      </c>
      <c r="B118" s="70"/>
      <c r="C118" s="69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2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2"/>
      <c r="AD118" s="71"/>
      <c r="AE118" s="71"/>
      <c r="AF118" s="71"/>
      <c r="AG118" s="71"/>
      <c r="AH118" s="71"/>
      <c r="AI118" s="71"/>
      <c r="AJ118" s="71"/>
      <c r="AK118" s="71"/>
      <c r="AL118" s="71"/>
      <c r="AM118" s="71"/>
      <c r="AN118" s="71"/>
      <c r="AO118" s="71"/>
      <c r="AP118" s="72"/>
      <c r="AQ118" s="71"/>
      <c r="AR118" s="71"/>
      <c r="AS118" s="71"/>
      <c r="AT118" s="71"/>
      <c r="AU118" s="71"/>
      <c r="AV118" s="71"/>
      <c r="AW118" s="71"/>
      <c r="AX118" s="71"/>
      <c r="AY118" s="71"/>
      <c r="AZ118" s="71"/>
      <c r="BA118" s="71"/>
      <c r="BB118" s="71"/>
      <c r="BC118" s="72"/>
      <c r="BD118" s="71"/>
      <c r="BE118" s="71"/>
      <c r="BF118" s="71"/>
      <c r="BG118" s="71"/>
      <c r="BH118" s="71"/>
      <c r="BI118" s="71"/>
      <c r="BJ118" s="71"/>
      <c r="BK118" s="71"/>
      <c r="BL118" s="71"/>
      <c r="BM118" s="71"/>
      <c r="BN118" s="71"/>
      <c r="BO118" s="71"/>
      <c r="BP118" s="72"/>
    </row>
    <row r="119" spans="1:68" customFormat="1" x14ac:dyDescent="0.25">
      <c r="A119" t="str">
        <f>"CT-TURNOV"</f>
        <v>CT-TURNOV</v>
      </c>
      <c r="B119" s="2" t="s">
        <v>134</v>
      </c>
      <c r="C119" t="s">
        <v>135</v>
      </c>
      <c r="D119" s="27">
        <f t="shared" ref="D119:AI119" si="101">D8+D22</f>
        <v>0</v>
      </c>
      <c r="E119" s="27">
        <f t="shared" si="101"/>
        <v>8992.9500000000007</v>
      </c>
      <c r="F119" s="27">
        <f t="shared" si="101"/>
        <v>19608.330000000002</v>
      </c>
      <c r="G119" s="27">
        <f t="shared" si="101"/>
        <v>16746.39</v>
      </c>
      <c r="H119" s="27">
        <f t="shared" si="101"/>
        <v>5874.42</v>
      </c>
      <c r="I119" s="27">
        <f t="shared" si="101"/>
        <v>23362.05</v>
      </c>
      <c r="J119" s="27">
        <f t="shared" si="101"/>
        <v>9693.1200000000008</v>
      </c>
      <c r="K119" s="27">
        <f t="shared" si="101"/>
        <v>25175.4</v>
      </c>
      <c r="L119" s="27">
        <f t="shared" si="101"/>
        <v>13632.63</v>
      </c>
      <c r="M119" s="27">
        <f t="shared" si="101"/>
        <v>31791.06</v>
      </c>
      <c r="N119" s="27">
        <f t="shared" si="101"/>
        <v>26673.84</v>
      </c>
      <c r="O119" s="27">
        <f t="shared" si="101"/>
        <v>31413.42</v>
      </c>
      <c r="P119" s="4">
        <f t="shared" si="101"/>
        <v>212963.61</v>
      </c>
      <c r="Q119" s="27">
        <f t="shared" si="101"/>
        <v>11843.64</v>
      </c>
      <c r="R119" s="27">
        <f t="shared" si="101"/>
        <v>41841.54</v>
      </c>
      <c r="S119" s="27">
        <f t="shared" si="101"/>
        <v>16614.240000000002</v>
      </c>
      <c r="T119" s="27">
        <f t="shared" si="101"/>
        <v>35353.199999999997</v>
      </c>
      <c r="U119" s="27">
        <f t="shared" si="101"/>
        <v>26700.48</v>
      </c>
      <c r="V119" s="27">
        <f t="shared" si="101"/>
        <v>28303.41</v>
      </c>
      <c r="W119" s="27">
        <f t="shared" si="101"/>
        <v>23415.57</v>
      </c>
      <c r="X119" s="27">
        <f t="shared" si="101"/>
        <v>24358.89</v>
      </c>
      <c r="Y119" s="27">
        <f t="shared" si="101"/>
        <v>10332.66</v>
      </c>
      <c r="Z119" s="27">
        <f t="shared" si="101"/>
        <v>42557.85</v>
      </c>
      <c r="AA119" s="27">
        <f t="shared" si="101"/>
        <v>10303.200000000001</v>
      </c>
      <c r="AB119" s="27">
        <f t="shared" si="101"/>
        <v>30697.11</v>
      </c>
      <c r="AC119" s="4">
        <f t="shared" si="101"/>
        <v>302321.79000000004</v>
      </c>
      <c r="AD119" s="27">
        <f t="shared" si="101"/>
        <v>10588.635</v>
      </c>
      <c r="AE119" s="27">
        <f t="shared" si="101"/>
        <v>33943.619999999995</v>
      </c>
      <c r="AF119" s="27">
        <f t="shared" si="101"/>
        <v>18487.650000000001</v>
      </c>
      <c r="AG119" s="27">
        <f t="shared" si="101"/>
        <v>39447.839999999997</v>
      </c>
      <c r="AH119" s="27">
        <f t="shared" si="101"/>
        <v>7074.39</v>
      </c>
      <c r="AI119" s="27">
        <f t="shared" si="101"/>
        <v>37768.47</v>
      </c>
      <c r="AJ119" s="27">
        <f t="shared" ref="AJ119:BP119" si="102">AJ8+AJ22</f>
        <v>13107.09</v>
      </c>
      <c r="AK119" s="27">
        <f t="shared" si="102"/>
        <v>21795.87</v>
      </c>
      <c r="AL119" s="27">
        <f t="shared" si="102"/>
        <v>13077.63</v>
      </c>
      <c r="AM119" s="27">
        <f t="shared" si="102"/>
        <v>26905.08</v>
      </c>
      <c r="AN119" s="27">
        <f t="shared" si="102"/>
        <v>27601.5</v>
      </c>
      <c r="AO119" s="27">
        <f t="shared" si="102"/>
        <v>25735.65</v>
      </c>
      <c r="AP119" s="4">
        <f t="shared" si="102"/>
        <v>275533.42499999999</v>
      </c>
      <c r="AQ119" s="28">
        <f t="shared" si="102"/>
        <v>0</v>
      </c>
      <c r="AR119" s="27">
        <f t="shared" si="102"/>
        <v>0</v>
      </c>
      <c r="AS119" s="27">
        <f t="shared" si="102"/>
        <v>0</v>
      </c>
      <c r="AT119" s="27">
        <f t="shared" si="102"/>
        <v>0</v>
      </c>
      <c r="AU119" s="27">
        <f t="shared" si="102"/>
        <v>0</v>
      </c>
      <c r="AV119" s="27">
        <f t="shared" si="102"/>
        <v>0</v>
      </c>
      <c r="AW119" s="27">
        <f t="shared" si="102"/>
        <v>0</v>
      </c>
      <c r="AX119" s="27">
        <f t="shared" si="102"/>
        <v>0</v>
      </c>
      <c r="AY119" s="27">
        <f t="shared" si="102"/>
        <v>0</v>
      </c>
      <c r="AZ119" s="27">
        <f t="shared" si="102"/>
        <v>0</v>
      </c>
      <c r="BA119" s="27">
        <f t="shared" si="102"/>
        <v>0</v>
      </c>
      <c r="BB119" s="27">
        <f t="shared" si="102"/>
        <v>0</v>
      </c>
      <c r="BC119" s="4">
        <f t="shared" si="102"/>
        <v>0</v>
      </c>
      <c r="BD119" s="27">
        <f t="shared" si="102"/>
        <v>0</v>
      </c>
      <c r="BE119" s="27">
        <f t="shared" si="102"/>
        <v>0</v>
      </c>
      <c r="BF119" s="27">
        <f t="shared" si="102"/>
        <v>0</v>
      </c>
      <c r="BG119" s="27">
        <f t="shared" si="102"/>
        <v>0</v>
      </c>
      <c r="BH119" s="27">
        <f t="shared" si="102"/>
        <v>0</v>
      </c>
      <c r="BI119" s="27">
        <f t="shared" si="102"/>
        <v>0</v>
      </c>
      <c r="BJ119" s="27">
        <f t="shared" si="102"/>
        <v>0</v>
      </c>
      <c r="BK119" s="27">
        <f t="shared" si="102"/>
        <v>0</v>
      </c>
      <c r="BL119" s="27">
        <f t="shared" si="102"/>
        <v>0</v>
      </c>
      <c r="BM119" s="27">
        <f t="shared" si="102"/>
        <v>0</v>
      </c>
      <c r="BN119" s="27">
        <f t="shared" si="102"/>
        <v>0</v>
      </c>
      <c r="BO119" s="27">
        <f t="shared" si="102"/>
        <v>0</v>
      </c>
      <c r="BP119" s="4">
        <f t="shared" si="102"/>
        <v>0</v>
      </c>
    </row>
    <row r="120" spans="1:68" customFormat="1" x14ac:dyDescent="0.25">
      <c r="A120" t="str">
        <f>"CT-OTHRIN"</f>
        <v>CT-OTHRIN</v>
      </c>
      <c r="B120" s="2" t="s">
        <v>47</v>
      </c>
      <c r="C120" t="s">
        <v>136</v>
      </c>
      <c r="D120" s="27">
        <f t="shared" ref="D120:AI120" si="103">D26</f>
        <v>5001</v>
      </c>
      <c r="E120" s="27">
        <f t="shared" si="103"/>
        <v>122.5</v>
      </c>
      <c r="F120" s="27">
        <f t="shared" si="103"/>
        <v>111.67</v>
      </c>
      <c r="G120" s="27">
        <f t="shared" si="103"/>
        <v>39.17</v>
      </c>
      <c r="H120" s="27">
        <f t="shared" si="103"/>
        <v>28.33</v>
      </c>
      <c r="I120" s="27">
        <f t="shared" si="103"/>
        <v>79.17</v>
      </c>
      <c r="J120" s="27">
        <f t="shared" si="103"/>
        <v>40</v>
      </c>
      <c r="K120" s="27">
        <f t="shared" si="103"/>
        <v>112.5</v>
      </c>
      <c r="L120" s="27">
        <f t="shared" si="103"/>
        <v>61.67</v>
      </c>
      <c r="M120" s="27">
        <f t="shared" si="103"/>
        <v>72.5</v>
      </c>
      <c r="N120" s="27">
        <f t="shared" si="103"/>
        <v>79.17</v>
      </c>
      <c r="O120" s="27">
        <f t="shared" si="103"/>
        <v>104.17</v>
      </c>
      <c r="P120" s="4">
        <f t="shared" si="103"/>
        <v>5851.85</v>
      </c>
      <c r="Q120" s="27">
        <f t="shared" si="103"/>
        <v>92.5</v>
      </c>
      <c r="R120" s="27">
        <f t="shared" si="103"/>
        <v>30.83</v>
      </c>
      <c r="S120" s="27">
        <f t="shared" si="103"/>
        <v>123.33</v>
      </c>
      <c r="T120" s="27">
        <f t="shared" si="103"/>
        <v>60.83</v>
      </c>
      <c r="U120" s="27">
        <f t="shared" si="103"/>
        <v>50</v>
      </c>
      <c r="V120" s="27">
        <f t="shared" si="103"/>
        <v>65.83</v>
      </c>
      <c r="W120" s="27">
        <f t="shared" si="103"/>
        <v>107.5</v>
      </c>
      <c r="X120" s="27">
        <f t="shared" si="103"/>
        <v>95.83</v>
      </c>
      <c r="Y120" s="27">
        <f t="shared" si="103"/>
        <v>82.5</v>
      </c>
      <c r="Z120" s="27">
        <f t="shared" si="103"/>
        <v>57.5</v>
      </c>
      <c r="AA120" s="27">
        <f t="shared" si="103"/>
        <v>69.17</v>
      </c>
      <c r="AB120" s="27">
        <f t="shared" si="103"/>
        <v>33.33</v>
      </c>
      <c r="AC120" s="4">
        <f t="shared" si="103"/>
        <v>869.15</v>
      </c>
      <c r="AD120" s="27">
        <f t="shared" si="103"/>
        <v>38.33</v>
      </c>
      <c r="AE120" s="27">
        <f t="shared" si="103"/>
        <v>100.83</v>
      </c>
      <c r="AF120" s="27">
        <f t="shared" si="103"/>
        <v>118.33</v>
      </c>
      <c r="AG120" s="27">
        <f t="shared" si="103"/>
        <v>95.83</v>
      </c>
      <c r="AH120" s="27">
        <f t="shared" si="103"/>
        <v>54.17</v>
      </c>
      <c r="AI120" s="27">
        <f t="shared" si="103"/>
        <v>72.5</v>
      </c>
      <c r="AJ120" s="27">
        <f t="shared" ref="AJ120:BP120" si="104">AJ26</f>
        <v>31.67</v>
      </c>
      <c r="AK120" s="27">
        <f t="shared" si="104"/>
        <v>110.83</v>
      </c>
      <c r="AL120" s="27">
        <f t="shared" si="104"/>
        <v>95.83</v>
      </c>
      <c r="AM120" s="27">
        <f t="shared" si="104"/>
        <v>78.33</v>
      </c>
      <c r="AN120" s="27">
        <f t="shared" si="104"/>
        <v>76.67</v>
      </c>
      <c r="AO120" s="27">
        <f t="shared" si="104"/>
        <v>61.67</v>
      </c>
      <c r="AP120" s="4">
        <f t="shared" si="104"/>
        <v>934.99</v>
      </c>
      <c r="AQ120" s="28">
        <f t="shared" si="104"/>
        <v>0</v>
      </c>
      <c r="AR120" s="27">
        <f t="shared" si="104"/>
        <v>0</v>
      </c>
      <c r="AS120" s="27">
        <f t="shared" si="104"/>
        <v>0</v>
      </c>
      <c r="AT120" s="27">
        <f t="shared" si="104"/>
        <v>0</v>
      </c>
      <c r="AU120" s="27">
        <f t="shared" si="104"/>
        <v>0</v>
      </c>
      <c r="AV120" s="27">
        <f t="shared" si="104"/>
        <v>0</v>
      </c>
      <c r="AW120" s="27">
        <f t="shared" si="104"/>
        <v>0</v>
      </c>
      <c r="AX120" s="27">
        <f t="shared" si="104"/>
        <v>0</v>
      </c>
      <c r="AY120" s="27">
        <f t="shared" si="104"/>
        <v>0</v>
      </c>
      <c r="AZ120" s="27">
        <f t="shared" si="104"/>
        <v>0</v>
      </c>
      <c r="BA120" s="27">
        <f t="shared" si="104"/>
        <v>0</v>
      </c>
      <c r="BB120" s="27">
        <f t="shared" si="104"/>
        <v>0</v>
      </c>
      <c r="BC120" s="4">
        <f t="shared" si="104"/>
        <v>0</v>
      </c>
      <c r="BD120" s="27">
        <f t="shared" si="104"/>
        <v>0</v>
      </c>
      <c r="BE120" s="27">
        <f t="shared" si="104"/>
        <v>0</v>
      </c>
      <c r="BF120" s="27">
        <f t="shared" si="104"/>
        <v>0</v>
      </c>
      <c r="BG120" s="27">
        <f t="shared" si="104"/>
        <v>0</v>
      </c>
      <c r="BH120" s="27">
        <f t="shared" si="104"/>
        <v>0</v>
      </c>
      <c r="BI120" s="27">
        <f t="shared" si="104"/>
        <v>0</v>
      </c>
      <c r="BJ120" s="27">
        <f t="shared" si="104"/>
        <v>0</v>
      </c>
      <c r="BK120" s="27">
        <f t="shared" si="104"/>
        <v>0</v>
      </c>
      <c r="BL120" s="27">
        <f t="shared" si="104"/>
        <v>0</v>
      </c>
      <c r="BM120" s="27">
        <f t="shared" si="104"/>
        <v>0</v>
      </c>
      <c r="BN120" s="27">
        <f t="shared" si="104"/>
        <v>0</v>
      </c>
      <c r="BO120" s="27">
        <f t="shared" si="104"/>
        <v>0</v>
      </c>
      <c r="BP120" s="4">
        <f t="shared" si="104"/>
        <v>0</v>
      </c>
    </row>
    <row r="121" spans="1:68" customFormat="1" x14ac:dyDescent="0.25">
      <c r="A121" t="str">
        <f>"CT-CSTSAL"</f>
        <v>CT-CSTSAL</v>
      </c>
      <c r="B121" s="2" t="s">
        <v>137</v>
      </c>
      <c r="C121" t="s">
        <v>138</v>
      </c>
      <c r="D121" s="27">
        <f t="shared" ref="D121:AI121" si="105">D35</f>
        <v>0</v>
      </c>
      <c r="E121" s="27">
        <f t="shared" si="105"/>
        <v>-4941.2196000000004</v>
      </c>
      <c r="F121" s="27">
        <f t="shared" si="105"/>
        <v>-3078.0001200000002</v>
      </c>
      <c r="G121" s="27">
        <f t="shared" si="105"/>
        <v>-3424.8131600000002</v>
      </c>
      <c r="H121" s="27">
        <f t="shared" si="105"/>
        <v>-1058.51368</v>
      </c>
      <c r="I121" s="27">
        <f t="shared" si="105"/>
        <v>-5309.4542000000001</v>
      </c>
      <c r="J121" s="27">
        <f t="shared" si="105"/>
        <v>-1814.8212799999999</v>
      </c>
      <c r="K121" s="27">
        <f t="shared" si="105"/>
        <v>-5988.4116000000004</v>
      </c>
      <c r="L121" s="27">
        <f t="shared" si="105"/>
        <v>-1248.9721199999999</v>
      </c>
      <c r="M121" s="27">
        <f t="shared" si="105"/>
        <v>-6764.7426400000004</v>
      </c>
      <c r="N121" s="27">
        <f t="shared" si="105"/>
        <v>-7389.2189600000002</v>
      </c>
      <c r="O121" s="27">
        <f t="shared" si="105"/>
        <v>-6556.1304799999998</v>
      </c>
      <c r="P121" s="4">
        <f t="shared" si="105"/>
        <v>-47574.297839999999</v>
      </c>
      <c r="Q121" s="27">
        <f t="shared" si="105"/>
        <v>-2186.11832</v>
      </c>
      <c r="R121" s="27">
        <f t="shared" si="105"/>
        <v>-8722.9057599999996</v>
      </c>
      <c r="S121" s="27">
        <f t="shared" si="105"/>
        <v>-1925.93896</v>
      </c>
      <c r="T121" s="27">
        <f t="shared" si="105"/>
        <v>-7470.5508</v>
      </c>
      <c r="U121" s="27">
        <f t="shared" si="105"/>
        <v>-6483.9383200000002</v>
      </c>
      <c r="V121" s="27">
        <f t="shared" si="105"/>
        <v>-1930.87004</v>
      </c>
      <c r="W121" s="27">
        <f t="shared" si="105"/>
        <v>-3569.6218800000001</v>
      </c>
      <c r="X121" s="27">
        <f t="shared" si="105"/>
        <v>-6480.0271599999996</v>
      </c>
      <c r="Y121" s="27">
        <f t="shared" si="105"/>
        <v>-934.08744000000002</v>
      </c>
      <c r="Z121" s="27">
        <f t="shared" si="105"/>
        <v>-7660.7893999999997</v>
      </c>
      <c r="AA121" s="27">
        <f t="shared" si="105"/>
        <v>-1790.8607999999999</v>
      </c>
      <c r="AB121" s="27">
        <f t="shared" si="105"/>
        <v>-6135.5168400000002</v>
      </c>
      <c r="AC121" s="4">
        <f t="shared" si="105"/>
        <v>-55291.225720000002</v>
      </c>
      <c r="AD121" s="27">
        <f t="shared" si="105"/>
        <v>-8175.58788</v>
      </c>
      <c r="AE121" s="27">
        <f t="shared" si="105"/>
        <v>-466.33927999999997</v>
      </c>
      <c r="AF121" s="27">
        <f t="shared" si="105"/>
        <v>-2973.5293999999999</v>
      </c>
      <c r="AG121" s="27">
        <f t="shared" si="105"/>
        <v>-8106.1789600000002</v>
      </c>
      <c r="AH121" s="27">
        <f t="shared" si="105"/>
        <v>-5137.4703600000003</v>
      </c>
      <c r="AI121" s="27">
        <f t="shared" si="105"/>
        <v>-2498.6486799999998</v>
      </c>
      <c r="AJ121" s="27">
        <f t="shared" ref="AJ121:BP121" si="106">AJ35</f>
        <v>-2208.6407599999998</v>
      </c>
      <c r="AK121" s="27">
        <f t="shared" si="106"/>
        <v>-4859.4622799999997</v>
      </c>
      <c r="AL121" s="27">
        <f t="shared" si="106"/>
        <v>-2204.5541199999998</v>
      </c>
      <c r="AM121" s="27">
        <f t="shared" si="106"/>
        <v>-6395.3635199999999</v>
      </c>
      <c r="AN121" s="27">
        <f t="shared" si="106"/>
        <v>-3332.0012000000002</v>
      </c>
      <c r="AO121" s="27">
        <f t="shared" si="106"/>
        <v>-14317.0926</v>
      </c>
      <c r="AP121" s="4">
        <f t="shared" si="106"/>
        <v>-60674.86903999999</v>
      </c>
      <c r="AQ121" s="28">
        <f t="shared" si="106"/>
        <v>0</v>
      </c>
      <c r="AR121" s="27">
        <f t="shared" si="106"/>
        <v>0</v>
      </c>
      <c r="AS121" s="27">
        <f t="shared" si="106"/>
        <v>0</v>
      </c>
      <c r="AT121" s="27">
        <f t="shared" si="106"/>
        <v>0</v>
      </c>
      <c r="AU121" s="27">
        <f t="shared" si="106"/>
        <v>0</v>
      </c>
      <c r="AV121" s="27">
        <f t="shared" si="106"/>
        <v>0</v>
      </c>
      <c r="AW121" s="27">
        <f t="shared" si="106"/>
        <v>0</v>
      </c>
      <c r="AX121" s="27">
        <f t="shared" si="106"/>
        <v>0</v>
      </c>
      <c r="AY121" s="27">
        <f t="shared" si="106"/>
        <v>0</v>
      </c>
      <c r="AZ121" s="27">
        <f t="shared" si="106"/>
        <v>0</v>
      </c>
      <c r="BA121" s="27">
        <f t="shared" si="106"/>
        <v>0</v>
      </c>
      <c r="BB121" s="27">
        <f t="shared" si="106"/>
        <v>0</v>
      </c>
      <c r="BC121" s="4">
        <f t="shared" si="106"/>
        <v>0</v>
      </c>
      <c r="BD121" s="27">
        <f t="shared" si="106"/>
        <v>0</v>
      </c>
      <c r="BE121" s="27">
        <f t="shared" si="106"/>
        <v>0</v>
      </c>
      <c r="BF121" s="27">
        <f t="shared" si="106"/>
        <v>0</v>
      </c>
      <c r="BG121" s="27">
        <f t="shared" si="106"/>
        <v>0</v>
      </c>
      <c r="BH121" s="27">
        <f t="shared" si="106"/>
        <v>0</v>
      </c>
      <c r="BI121" s="27">
        <f t="shared" si="106"/>
        <v>0</v>
      </c>
      <c r="BJ121" s="27">
        <f t="shared" si="106"/>
        <v>0</v>
      </c>
      <c r="BK121" s="27">
        <f t="shared" si="106"/>
        <v>0</v>
      </c>
      <c r="BL121" s="27">
        <f t="shared" si="106"/>
        <v>0</v>
      </c>
      <c r="BM121" s="27">
        <f t="shared" si="106"/>
        <v>0</v>
      </c>
      <c r="BN121" s="27">
        <f t="shared" si="106"/>
        <v>0</v>
      </c>
      <c r="BO121" s="27">
        <f t="shared" si="106"/>
        <v>0</v>
      </c>
      <c r="BP121" s="4">
        <f t="shared" si="106"/>
        <v>0</v>
      </c>
    </row>
    <row r="122" spans="1:68" customFormat="1" x14ac:dyDescent="0.25">
      <c r="A122" t="str">
        <f>"CT-STAFFC"</f>
        <v>CT-STAFFC</v>
      </c>
      <c r="B122" s="2" t="s">
        <v>139</v>
      </c>
      <c r="C122" t="s">
        <v>140</v>
      </c>
      <c r="D122" s="27">
        <f t="shared" ref="D122:AI122" si="107">D42</f>
        <v>0</v>
      </c>
      <c r="E122" s="27">
        <f t="shared" si="107"/>
        <v>-2547.6</v>
      </c>
      <c r="F122" s="27">
        <f t="shared" si="107"/>
        <v>-2508</v>
      </c>
      <c r="G122" s="27">
        <f t="shared" si="107"/>
        <v>-2466.1999999999998</v>
      </c>
      <c r="H122" s="27">
        <f t="shared" si="107"/>
        <v>-2461.8000000000002</v>
      </c>
      <c r="I122" s="27">
        <f t="shared" si="107"/>
        <v>-2697.2</v>
      </c>
      <c r="J122" s="27">
        <f t="shared" si="107"/>
        <v>-2655.4</v>
      </c>
      <c r="K122" s="27">
        <f t="shared" si="107"/>
        <v>-2578.4</v>
      </c>
      <c r="L122" s="27">
        <f t="shared" si="107"/>
        <v>-2813.8</v>
      </c>
      <c r="M122" s="27">
        <f t="shared" si="107"/>
        <v>-2774.2</v>
      </c>
      <c r="N122" s="27">
        <f t="shared" si="107"/>
        <v>-2659.8</v>
      </c>
      <c r="O122" s="27">
        <f t="shared" si="107"/>
        <v>-2615.8000000000002</v>
      </c>
      <c r="P122" s="4">
        <f t="shared" si="107"/>
        <v>-28778.2</v>
      </c>
      <c r="Q122" s="27">
        <f t="shared" si="107"/>
        <v>-2563</v>
      </c>
      <c r="R122" s="27">
        <f t="shared" si="107"/>
        <v>-2723.6</v>
      </c>
      <c r="S122" s="27">
        <f t="shared" si="107"/>
        <v>-2767.6</v>
      </c>
      <c r="T122" s="27">
        <f t="shared" si="107"/>
        <v>-2602.6</v>
      </c>
      <c r="U122" s="27">
        <f t="shared" si="107"/>
        <v>-2624.6</v>
      </c>
      <c r="V122" s="27">
        <f t="shared" si="107"/>
        <v>-2499.1999999999998</v>
      </c>
      <c r="W122" s="27">
        <f t="shared" si="107"/>
        <v>-2664.2</v>
      </c>
      <c r="X122" s="27">
        <f t="shared" si="107"/>
        <v>-2717</v>
      </c>
      <c r="Y122" s="27">
        <f t="shared" si="107"/>
        <v>-2633.4</v>
      </c>
      <c r="Z122" s="27">
        <f t="shared" si="107"/>
        <v>-2589.4</v>
      </c>
      <c r="AA122" s="27">
        <f t="shared" si="107"/>
        <v>-2536.6</v>
      </c>
      <c r="AB122" s="27">
        <f t="shared" si="107"/>
        <v>-2422.1999999999998</v>
      </c>
      <c r="AC122" s="4">
        <f t="shared" si="107"/>
        <v>-31343.4</v>
      </c>
      <c r="AD122" s="27">
        <f t="shared" si="107"/>
        <v>-2466.1999999999998</v>
      </c>
      <c r="AE122" s="27">
        <f t="shared" si="107"/>
        <v>-2576.1999999999998</v>
      </c>
      <c r="AF122" s="27">
        <f t="shared" si="107"/>
        <v>-2598.1999999999998</v>
      </c>
      <c r="AG122" s="27">
        <f t="shared" si="107"/>
        <v>-2800.6</v>
      </c>
      <c r="AH122" s="27">
        <f t="shared" si="107"/>
        <v>-2690.6</v>
      </c>
      <c r="AI122" s="27">
        <f t="shared" si="107"/>
        <v>-2743.4</v>
      </c>
      <c r="AJ122" s="27">
        <f t="shared" ref="AJ122:BP122" si="108">AJ42</f>
        <v>-2827</v>
      </c>
      <c r="AK122" s="27">
        <f t="shared" si="108"/>
        <v>-2783</v>
      </c>
      <c r="AL122" s="27">
        <f t="shared" si="108"/>
        <v>-2730.2</v>
      </c>
      <c r="AM122" s="27">
        <f t="shared" si="108"/>
        <v>-2615.8000000000002</v>
      </c>
      <c r="AN122" s="27">
        <f t="shared" si="108"/>
        <v>-2659.8</v>
      </c>
      <c r="AO122" s="27">
        <f t="shared" si="108"/>
        <v>-2769.8</v>
      </c>
      <c r="AP122" s="4">
        <f t="shared" si="108"/>
        <v>-32260.799999999999</v>
      </c>
      <c r="AQ122" s="28">
        <f t="shared" si="108"/>
        <v>0</v>
      </c>
      <c r="AR122" s="27">
        <f t="shared" si="108"/>
        <v>0</v>
      </c>
      <c r="AS122" s="27">
        <f t="shared" si="108"/>
        <v>0</v>
      </c>
      <c r="AT122" s="27">
        <f t="shared" si="108"/>
        <v>0</v>
      </c>
      <c r="AU122" s="27">
        <f t="shared" si="108"/>
        <v>0</v>
      </c>
      <c r="AV122" s="27">
        <f t="shared" si="108"/>
        <v>0</v>
      </c>
      <c r="AW122" s="27">
        <f t="shared" si="108"/>
        <v>0</v>
      </c>
      <c r="AX122" s="27">
        <f t="shared" si="108"/>
        <v>0</v>
      </c>
      <c r="AY122" s="27">
        <f t="shared" si="108"/>
        <v>0</v>
      </c>
      <c r="AZ122" s="27">
        <f t="shared" si="108"/>
        <v>0</v>
      </c>
      <c r="BA122" s="27">
        <f t="shared" si="108"/>
        <v>0</v>
      </c>
      <c r="BB122" s="27">
        <f t="shared" si="108"/>
        <v>0</v>
      </c>
      <c r="BC122" s="4">
        <f t="shared" si="108"/>
        <v>0</v>
      </c>
      <c r="BD122" s="27">
        <f t="shared" si="108"/>
        <v>0</v>
      </c>
      <c r="BE122" s="27">
        <f t="shared" si="108"/>
        <v>0</v>
      </c>
      <c r="BF122" s="27">
        <f t="shared" si="108"/>
        <v>0</v>
      </c>
      <c r="BG122" s="27">
        <f t="shared" si="108"/>
        <v>0</v>
      </c>
      <c r="BH122" s="27">
        <f t="shared" si="108"/>
        <v>0</v>
      </c>
      <c r="BI122" s="27">
        <f t="shared" si="108"/>
        <v>0</v>
      </c>
      <c r="BJ122" s="27">
        <f t="shared" si="108"/>
        <v>0</v>
      </c>
      <c r="BK122" s="27">
        <f t="shared" si="108"/>
        <v>0</v>
      </c>
      <c r="BL122" s="27">
        <f t="shared" si="108"/>
        <v>0</v>
      </c>
      <c r="BM122" s="27">
        <f t="shared" si="108"/>
        <v>0</v>
      </c>
      <c r="BN122" s="27">
        <f t="shared" si="108"/>
        <v>0</v>
      </c>
      <c r="BO122" s="27">
        <f t="shared" si="108"/>
        <v>0</v>
      </c>
      <c r="BP122" s="4">
        <f t="shared" si="108"/>
        <v>0</v>
      </c>
    </row>
    <row r="123" spans="1:68" customFormat="1" x14ac:dyDescent="0.25">
      <c r="A123" t="str">
        <f>"CT-OVERHD"</f>
        <v>CT-OVERHD</v>
      </c>
      <c r="B123" s="2" t="s">
        <v>141</v>
      </c>
      <c r="C123" t="s">
        <v>142</v>
      </c>
      <c r="D123" s="27">
        <f t="shared" ref="D123:AI123" si="109">D53+D16+D69+D12+D59</f>
        <v>0</v>
      </c>
      <c r="E123" s="27">
        <f t="shared" si="109"/>
        <v>-322.5</v>
      </c>
      <c r="F123" s="27">
        <f t="shared" si="109"/>
        <v>-235.17000000000002</v>
      </c>
      <c r="G123" s="27">
        <f t="shared" si="109"/>
        <v>-863.34</v>
      </c>
      <c r="H123" s="27">
        <f t="shared" si="109"/>
        <v>-280.16999999999996</v>
      </c>
      <c r="I123" s="27">
        <f t="shared" si="109"/>
        <v>-192.82999999999998</v>
      </c>
      <c r="J123" s="27">
        <f t="shared" si="109"/>
        <v>-410.33</v>
      </c>
      <c r="K123" s="27">
        <f t="shared" si="109"/>
        <v>-297.5</v>
      </c>
      <c r="L123" s="27">
        <f t="shared" si="109"/>
        <v>-240.17000000000002</v>
      </c>
      <c r="M123" s="27">
        <f t="shared" si="109"/>
        <v>-757</v>
      </c>
      <c r="N123" s="27">
        <f t="shared" si="109"/>
        <v>-150.17000000000002</v>
      </c>
      <c r="O123" s="27">
        <f t="shared" si="109"/>
        <v>3676.5</v>
      </c>
      <c r="P123" s="4">
        <f t="shared" si="109"/>
        <v>-72.680000000000291</v>
      </c>
      <c r="Q123" s="27">
        <f t="shared" si="109"/>
        <v>-975.84</v>
      </c>
      <c r="R123" s="27">
        <f t="shared" si="109"/>
        <v>-127</v>
      </c>
      <c r="S123" s="27">
        <f t="shared" si="109"/>
        <v>-162</v>
      </c>
      <c r="T123" s="27">
        <f t="shared" si="109"/>
        <v>-842.84</v>
      </c>
      <c r="U123" s="27">
        <f t="shared" si="109"/>
        <v>-224.17000000000002</v>
      </c>
      <c r="V123" s="27">
        <f t="shared" si="109"/>
        <v>-278</v>
      </c>
      <c r="W123" s="27">
        <f t="shared" si="109"/>
        <v>-600.5</v>
      </c>
      <c r="X123" s="27">
        <f t="shared" si="109"/>
        <v>-309</v>
      </c>
      <c r="Y123" s="27">
        <f t="shared" si="109"/>
        <v>-236.17000000000002</v>
      </c>
      <c r="Z123" s="27">
        <f t="shared" si="109"/>
        <v>-772.83</v>
      </c>
      <c r="AA123" s="27">
        <f t="shared" si="109"/>
        <v>-215.17000000000002</v>
      </c>
      <c r="AB123" s="27">
        <f t="shared" si="109"/>
        <v>-1318</v>
      </c>
      <c r="AC123" s="4">
        <f t="shared" si="109"/>
        <v>-6061.52</v>
      </c>
      <c r="AD123" s="27">
        <f t="shared" si="109"/>
        <v>-978.83</v>
      </c>
      <c r="AE123" s="27">
        <f t="shared" si="109"/>
        <v>-274.66999999999996</v>
      </c>
      <c r="AF123" s="27">
        <f t="shared" si="109"/>
        <v>-171.82999999999998</v>
      </c>
      <c r="AG123" s="27">
        <f t="shared" si="109"/>
        <v>-606.16</v>
      </c>
      <c r="AH123" s="27">
        <f t="shared" si="109"/>
        <v>-3768.67</v>
      </c>
      <c r="AI123" s="27">
        <f t="shared" si="109"/>
        <v>-108</v>
      </c>
      <c r="AJ123" s="27">
        <f t="shared" ref="AJ123:BP123" si="110">AJ53+AJ16+AJ69+AJ12+AJ59</f>
        <v>-643.15999999999985</v>
      </c>
      <c r="AK123" s="27">
        <f t="shared" si="110"/>
        <v>-319</v>
      </c>
      <c r="AL123" s="27">
        <f t="shared" si="110"/>
        <v>-208</v>
      </c>
      <c r="AM123" s="27">
        <f t="shared" si="110"/>
        <v>-659.17</v>
      </c>
      <c r="AN123" s="27">
        <f t="shared" si="110"/>
        <v>-200.82999999999998</v>
      </c>
      <c r="AO123" s="27">
        <f t="shared" si="110"/>
        <v>-2312.5</v>
      </c>
      <c r="AP123" s="4">
        <f t="shared" si="110"/>
        <v>-10250.82</v>
      </c>
      <c r="AQ123" s="28">
        <f t="shared" si="110"/>
        <v>0</v>
      </c>
      <c r="AR123" s="27">
        <f t="shared" si="110"/>
        <v>0</v>
      </c>
      <c r="AS123" s="27">
        <f t="shared" si="110"/>
        <v>0</v>
      </c>
      <c r="AT123" s="27">
        <f t="shared" si="110"/>
        <v>0</v>
      </c>
      <c r="AU123" s="27">
        <f t="shared" si="110"/>
        <v>0</v>
      </c>
      <c r="AV123" s="27">
        <f t="shared" si="110"/>
        <v>0</v>
      </c>
      <c r="AW123" s="27">
        <f t="shared" si="110"/>
        <v>0</v>
      </c>
      <c r="AX123" s="27">
        <f t="shared" si="110"/>
        <v>0</v>
      </c>
      <c r="AY123" s="27">
        <f t="shared" si="110"/>
        <v>0</v>
      </c>
      <c r="AZ123" s="27">
        <f t="shared" si="110"/>
        <v>0</v>
      </c>
      <c r="BA123" s="27">
        <f t="shared" si="110"/>
        <v>0</v>
      </c>
      <c r="BB123" s="27">
        <f t="shared" si="110"/>
        <v>0</v>
      </c>
      <c r="BC123" s="4">
        <f t="shared" si="110"/>
        <v>0</v>
      </c>
      <c r="BD123" s="27">
        <f t="shared" si="110"/>
        <v>0</v>
      </c>
      <c r="BE123" s="27">
        <f t="shared" si="110"/>
        <v>0</v>
      </c>
      <c r="BF123" s="27">
        <f t="shared" si="110"/>
        <v>0</v>
      </c>
      <c r="BG123" s="27">
        <f t="shared" si="110"/>
        <v>0</v>
      </c>
      <c r="BH123" s="27">
        <f t="shared" si="110"/>
        <v>0</v>
      </c>
      <c r="BI123" s="27">
        <f t="shared" si="110"/>
        <v>0</v>
      </c>
      <c r="BJ123" s="27">
        <f t="shared" si="110"/>
        <v>0</v>
      </c>
      <c r="BK123" s="27">
        <f t="shared" si="110"/>
        <v>0</v>
      </c>
      <c r="BL123" s="27">
        <f t="shared" si="110"/>
        <v>0</v>
      </c>
      <c r="BM123" s="27">
        <f t="shared" si="110"/>
        <v>0</v>
      </c>
      <c r="BN123" s="27">
        <f t="shared" si="110"/>
        <v>0</v>
      </c>
      <c r="BO123" s="27">
        <f t="shared" si="110"/>
        <v>0</v>
      </c>
      <c r="BP123" s="4">
        <f t="shared" si="110"/>
        <v>0</v>
      </c>
    </row>
    <row r="124" spans="1:68" customFormat="1" x14ac:dyDescent="0.25">
      <c r="A124" t="str">
        <f>"CT-GROSSP"</f>
        <v>CT-GROSSP</v>
      </c>
      <c r="B124" s="2" t="s">
        <v>143</v>
      </c>
      <c r="C124" t="s">
        <v>144</v>
      </c>
      <c r="D124" s="27">
        <f t="shared" ref="D124:AI124" si="111">D121+D120+D119</f>
        <v>5001</v>
      </c>
      <c r="E124" s="27">
        <f t="shared" si="111"/>
        <v>4174.2304000000004</v>
      </c>
      <c r="F124" s="27">
        <f t="shared" si="111"/>
        <v>16641.999880000003</v>
      </c>
      <c r="G124" s="27">
        <f t="shared" si="111"/>
        <v>13360.74684</v>
      </c>
      <c r="H124" s="27">
        <f t="shared" si="111"/>
        <v>4844.23632</v>
      </c>
      <c r="I124" s="27">
        <f t="shared" si="111"/>
        <v>18131.765800000001</v>
      </c>
      <c r="J124" s="27">
        <f t="shared" si="111"/>
        <v>7918.2987200000007</v>
      </c>
      <c r="K124" s="27">
        <f t="shared" si="111"/>
        <v>19299.488400000002</v>
      </c>
      <c r="L124" s="27">
        <f t="shared" si="111"/>
        <v>12445.327879999999</v>
      </c>
      <c r="M124" s="27">
        <f t="shared" si="111"/>
        <v>25098.817360000001</v>
      </c>
      <c r="N124" s="27">
        <f t="shared" si="111"/>
        <v>19363.79104</v>
      </c>
      <c r="O124" s="27">
        <f t="shared" si="111"/>
        <v>24961.459519999997</v>
      </c>
      <c r="P124" s="4">
        <f t="shared" si="111"/>
        <v>171241.16215999998</v>
      </c>
      <c r="Q124" s="27">
        <f t="shared" si="111"/>
        <v>9750.0216799999998</v>
      </c>
      <c r="R124" s="27">
        <f t="shared" si="111"/>
        <v>33149.464240000001</v>
      </c>
      <c r="S124" s="27">
        <f t="shared" si="111"/>
        <v>14811.631040000002</v>
      </c>
      <c r="T124" s="27">
        <f t="shared" si="111"/>
        <v>27943.479199999998</v>
      </c>
      <c r="U124" s="27">
        <f t="shared" si="111"/>
        <v>20266.541679999998</v>
      </c>
      <c r="V124" s="27">
        <f t="shared" si="111"/>
        <v>26438.36996</v>
      </c>
      <c r="W124" s="27">
        <f t="shared" si="111"/>
        <v>19953.448120000001</v>
      </c>
      <c r="X124" s="27">
        <f t="shared" si="111"/>
        <v>17974.69284</v>
      </c>
      <c r="Y124" s="27">
        <f t="shared" si="111"/>
        <v>9481.0725600000005</v>
      </c>
      <c r="Z124" s="27">
        <f t="shared" si="111"/>
        <v>34954.560599999997</v>
      </c>
      <c r="AA124" s="27">
        <f t="shared" si="111"/>
        <v>8581.5092000000004</v>
      </c>
      <c r="AB124" s="27">
        <f t="shared" si="111"/>
        <v>24594.923159999998</v>
      </c>
      <c r="AC124" s="4">
        <f t="shared" si="111"/>
        <v>247899.71428000004</v>
      </c>
      <c r="AD124" s="27">
        <f t="shared" si="111"/>
        <v>2451.3771200000001</v>
      </c>
      <c r="AE124" s="27">
        <f t="shared" si="111"/>
        <v>33578.110719999997</v>
      </c>
      <c r="AF124" s="27">
        <f t="shared" si="111"/>
        <v>15632.450600000002</v>
      </c>
      <c r="AG124" s="27">
        <f t="shared" si="111"/>
        <v>31437.491039999997</v>
      </c>
      <c r="AH124" s="27">
        <f t="shared" si="111"/>
        <v>1991.0896400000001</v>
      </c>
      <c r="AI124" s="27">
        <f t="shared" si="111"/>
        <v>35342.321320000003</v>
      </c>
      <c r="AJ124" s="27">
        <f t="shared" ref="AJ124:BP124" si="112">AJ121+AJ120+AJ119</f>
        <v>10930.11924</v>
      </c>
      <c r="AK124" s="27">
        <f t="shared" si="112"/>
        <v>17047.237719999997</v>
      </c>
      <c r="AL124" s="27">
        <f t="shared" si="112"/>
        <v>10968.905879999998</v>
      </c>
      <c r="AM124" s="27">
        <f t="shared" si="112"/>
        <v>20588.046480000001</v>
      </c>
      <c r="AN124" s="27">
        <f t="shared" si="112"/>
        <v>24346.168799999999</v>
      </c>
      <c r="AO124" s="27">
        <f t="shared" si="112"/>
        <v>11480.227400000002</v>
      </c>
      <c r="AP124" s="4">
        <f t="shared" si="112"/>
        <v>215793.54595999999</v>
      </c>
      <c r="AQ124" s="28">
        <f t="shared" si="112"/>
        <v>0</v>
      </c>
      <c r="AR124" s="27">
        <f t="shared" si="112"/>
        <v>0</v>
      </c>
      <c r="AS124" s="27">
        <f t="shared" si="112"/>
        <v>0</v>
      </c>
      <c r="AT124" s="27">
        <f t="shared" si="112"/>
        <v>0</v>
      </c>
      <c r="AU124" s="27">
        <f t="shared" si="112"/>
        <v>0</v>
      </c>
      <c r="AV124" s="27">
        <f t="shared" si="112"/>
        <v>0</v>
      </c>
      <c r="AW124" s="27">
        <f t="shared" si="112"/>
        <v>0</v>
      </c>
      <c r="AX124" s="27">
        <f t="shared" si="112"/>
        <v>0</v>
      </c>
      <c r="AY124" s="27">
        <f t="shared" si="112"/>
        <v>0</v>
      </c>
      <c r="AZ124" s="27">
        <f t="shared" si="112"/>
        <v>0</v>
      </c>
      <c r="BA124" s="27">
        <f t="shared" si="112"/>
        <v>0</v>
      </c>
      <c r="BB124" s="27">
        <f t="shared" si="112"/>
        <v>0</v>
      </c>
      <c r="BC124" s="4">
        <f t="shared" si="112"/>
        <v>0</v>
      </c>
      <c r="BD124" s="27">
        <f t="shared" si="112"/>
        <v>0</v>
      </c>
      <c r="BE124" s="27">
        <f t="shared" si="112"/>
        <v>0</v>
      </c>
      <c r="BF124" s="27">
        <f t="shared" si="112"/>
        <v>0</v>
      </c>
      <c r="BG124" s="27">
        <f t="shared" si="112"/>
        <v>0</v>
      </c>
      <c r="BH124" s="27">
        <f t="shared" si="112"/>
        <v>0</v>
      </c>
      <c r="BI124" s="27">
        <f t="shared" si="112"/>
        <v>0</v>
      </c>
      <c r="BJ124" s="27">
        <f t="shared" si="112"/>
        <v>0</v>
      </c>
      <c r="BK124" s="27">
        <f t="shared" si="112"/>
        <v>0</v>
      </c>
      <c r="BL124" s="27">
        <f t="shared" si="112"/>
        <v>0</v>
      </c>
      <c r="BM124" s="27">
        <f t="shared" si="112"/>
        <v>0</v>
      </c>
      <c r="BN124" s="27">
        <f t="shared" si="112"/>
        <v>0</v>
      </c>
      <c r="BO124" s="27">
        <f t="shared" si="112"/>
        <v>0</v>
      </c>
      <c r="BP124" s="4">
        <f t="shared" si="112"/>
        <v>0</v>
      </c>
    </row>
    <row r="125" spans="1:68" s="12" customFormat="1" x14ac:dyDescent="0.25">
      <c r="A125" s="12" t="str">
        <f>"CT-PANDL"</f>
        <v>CT-PANDL</v>
      </c>
      <c r="B125" s="56" t="s">
        <v>145</v>
      </c>
      <c r="C125" s="12" t="s">
        <v>146</v>
      </c>
      <c r="D125" s="57">
        <f t="shared" ref="D125:AI125" si="113">D87+D124+D123+D122</f>
        <v>5001</v>
      </c>
      <c r="E125" s="57">
        <f t="shared" si="113"/>
        <v>1304.1304000000005</v>
      </c>
      <c r="F125" s="57">
        <f t="shared" si="113"/>
        <v>13898.829880000005</v>
      </c>
      <c r="G125" s="57">
        <f t="shared" si="113"/>
        <v>10031.206839999999</v>
      </c>
      <c r="H125" s="57">
        <f t="shared" si="113"/>
        <v>2102.2663199999997</v>
      </c>
      <c r="I125" s="57">
        <f t="shared" si="113"/>
        <v>15241.735799999999</v>
      </c>
      <c r="J125" s="57">
        <f t="shared" si="113"/>
        <v>4852.5687200000011</v>
      </c>
      <c r="K125" s="57">
        <f t="shared" si="113"/>
        <v>16423.588400000001</v>
      </c>
      <c r="L125" s="57">
        <f t="shared" si="113"/>
        <v>9391.3578799999996</v>
      </c>
      <c r="M125" s="57">
        <f t="shared" si="113"/>
        <v>21567.61736</v>
      </c>
      <c r="N125" s="57">
        <f t="shared" si="113"/>
        <v>16553.821040000003</v>
      </c>
      <c r="O125" s="57">
        <f t="shared" si="113"/>
        <v>26022.159519999997</v>
      </c>
      <c r="P125" s="58">
        <f t="shared" si="113"/>
        <v>142390.28215999997</v>
      </c>
      <c r="Q125" s="57">
        <f t="shared" si="113"/>
        <v>6211.1816799999997</v>
      </c>
      <c r="R125" s="57">
        <f t="shared" si="113"/>
        <v>30298.864240000003</v>
      </c>
      <c r="S125" s="57">
        <f t="shared" si="113"/>
        <v>11882.031040000002</v>
      </c>
      <c r="T125" s="57">
        <f t="shared" si="113"/>
        <v>24498.039199999999</v>
      </c>
      <c r="U125" s="57">
        <f t="shared" si="113"/>
        <v>17417.771680000002</v>
      </c>
      <c r="V125" s="57">
        <f t="shared" si="113"/>
        <v>23661.169959999999</v>
      </c>
      <c r="W125" s="57">
        <f t="shared" si="113"/>
        <v>16688.74812</v>
      </c>
      <c r="X125" s="57">
        <f t="shared" si="113"/>
        <v>14948.69284</v>
      </c>
      <c r="Y125" s="57">
        <f t="shared" si="113"/>
        <v>6611.5025600000008</v>
      </c>
      <c r="Z125" s="57">
        <f t="shared" si="113"/>
        <v>31592.330599999994</v>
      </c>
      <c r="AA125" s="57">
        <f t="shared" si="113"/>
        <v>5829.7392</v>
      </c>
      <c r="AB125" s="57">
        <f t="shared" si="113"/>
        <v>20854.723159999998</v>
      </c>
      <c r="AC125" s="58">
        <f t="shared" si="113"/>
        <v>210494.79428000006</v>
      </c>
      <c r="AD125" s="57">
        <f t="shared" si="113"/>
        <v>-993.65287999999964</v>
      </c>
      <c r="AE125" s="57">
        <f t="shared" si="113"/>
        <v>30727.240719999998</v>
      </c>
      <c r="AF125" s="57">
        <f t="shared" si="113"/>
        <v>12862.420600000001</v>
      </c>
      <c r="AG125" s="57">
        <f t="shared" si="113"/>
        <v>28030.731039999999</v>
      </c>
      <c r="AH125" s="57">
        <f t="shared" si="113"/>
        <v>-4468.1803600000003</v>
      </c>
      <c r="AI125" s="57">
        <f t="shared" si="113"/>
        <v>32490.921320000001</v>
      </c>
      <c r="AJ125" s="57">
        <f t="shared" ref="AJ125:BO125" si="114">AJ87+AJ124+AJ123+AJ122</f>
        <v>7459.9592400000001</v>
      </c>
      <c r="AK125" s="57">
        <f t="shared" si="114"/>
        <v>13945.237719999997</v>
      </c>
      <c r="AL125" s="57">
        <f t="shared" si="114"/>
        <v>8030.7058799999986</v>
      </c>
      <c r="AM125" s="57">
        <f t="shared" si="114"/>
        <v>17313.076480000003</v>
      </c>
      <c r="AN125" s="57">
        <f t="shared" si="114"/>
        <v>21485.538799999998</v>
      </c>
      <c r="AO125" s="57">
        <f t="shared" si="114"/>
        <v>6397.9274000000014</v>
      </c>
      <c r="AP125" s="58">
        <f t="shared" si="114"/>
        <v>173281.92595999999</v>
      </c>
      <c r="AQ125" s="59">
        <f t="shared" si="114"/>
        <v>0</v>
      </c>
      <c r="AR125" s="57">
        <f t="shared" si="114"/>
        <v>0</v>
      </c>
      <c r="AS125" s="57">
        <f t="shared" si="114"/>
        <v>0</v>
      </c>
      <c r="AT125" s="57">
        <f t="shared" si="114"/>
        <v>0</v>
      </c>
      <c r="AU125" s="57">
        <f t="shared" si="114"/>
        <v>0</v>
      </c>
      <c r="AV125" s="57">
        <f t="shared" si="114"/>
        <v>0</v>
      </c>
      <c r="AW125" s="57">
        <f t="shared" si="114"/>
        <v>0</v>
      </c>
      <c r="AX125" s="57">
        <f t="shared" si="114"/>
        <v>0</v>
      </c>
      <c r="AY125" s="57">
        <f t="shared" si="114"/>
        <v>0</v>
      </c>
      <c r="AZ125" s="57">
        <f t="shared" si="114"/>
        <v>0</v>
      </c>
      <c r="BA125" s="57">
        <f t="shared" si="114"/>
        <v>0</v>
      </c>
      <c r="BB125" s="57">
        <f t="shared" si="114"/>
        <v>0</v>
      </c>
      <c r="BC125" s="58">
        <f t="shared" si="114"/>
        <v>0</v>
      </c>
      <c r="BD125" s="57">
        <f t="shared" si="114"/>
        <v>0</v>
      </c>
      <c r="BE125" s="57">
        <f t="shared" si="114"/>
        <v>0</v>
      </c>
      <c r="BF125" s="57">
        <f t="shared" si="114"/>
        <v>0</v>
      </c>
      <c r="BG125" s="57">
        <f t="shared" si="114"/>
        <v>0</v>
      </c>
      <c r="BH125" s="57">
        <f t="shared" si="114"/>
        <v>0</v>
      </c>
      <c r="BI125" s="57">
        <f t="shared" si="114"/>
        <v>0</v>
      </c>
      <c r="BJ125" s="57">
        <f t="shared" si="114"/>
        <v>0</v>
      </c>
      <c r="BK125" s="57">
        <f t="shared" si="114"/>
        <v>0</v>
      </c>
      <c r="BL125" s="57">
        <f t="shared" si="114"/>
        <v>0</v>
      </c>
      <c r="BM125" s="57">
        <f t="shared" si="114"/>
        <v>0</v>
      </c>
      <c r="BN125" s="57">
        <f t="shared" si="114"/>
        <v>0</v>
      </c>
      <c r="BO125" s="57">
        <f t="shared" si="114"/>
        <v>0</v>
      </c>
      <c r="BP125" s="58">
        <f t="shared" ref="BP125:CU125" si="115">BP87+BP124+BP123+BP122</f>
        <v>0</v>
      </c>
    </row>
    <row r="127" spans="1:68" s="8" customFormat="1" x14ac:dyDescent="0.25">
      <c r="A127" s="38" t="s">
        <v>147</v>
      </c>
      <c r="B127" s="39"/>
      <c r="C127" s="38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1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1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1"/>
      <c r="AQ127" s="42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1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40"/>
      <c r="BP127" s="41"/>
    </row>
    <row r="128" spans="1:68" x14ac:dyDescent="0.25">
      <c r="A128" t="s">
        <v>148</v>
      </c>
      <c r="B128" s="2" t="s">
        <v>149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4">
        <f>SUM(D128:O128)</f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4">
        <f>SUM(Q128:AB128)</f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4">
        <f>SUM(AD128:AO128)</f>
        <v>0</v>
      </c>
      <c r="AQ128" s="5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4">
        <f>SUM(AQ128:BB128)</f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4">
        <f>SUM(BD128:BO128)</f>
        <v>0</v>
      </c>
    </row>
    <row r="129" spans="1:68" x14ac:dyDescent="0.25">
      <c r="A129" t="s">
        <v>150</v>
      </c>
      <c r="B129" s="2" t="s">
        <v>151</v>
      </c>
      <c r="D129" s="3">
        <v>0</v>
      </c>
      <c r="E129" s="3">
        <v>0</v>
      </c>
      <c r="F129" s="3">
        <v>0</v>
      </c>
      <c r="G129" s="3">
        <v>0</v>
      </c>
      <c r="H129" s="3">
        <v>4122.8999999999996</v>
      </c>
      <c r="I129" s="3">
        <v>0</v>
      </c>
      <c r="J129" s="3">
        <v>0</v>
      </c>
      <c r="K129" s="3">
        <v>7087.68</v>
      </c>
      <c r="L129" s="3">
        <v>0</v>
      </c>
      <c r="M129" s="3">
        <v>0</v>
      </c>
      <c r="N129" s="3">
        <v>5887.01</v>
      </c>
      <c r="O129" s="3">
        <v>0</v>
      </c>
      <c r="P129" s="4">
        <f>SUM(D129:O129)</f>
        <v>17097.59</v>
      </c>
      <c r="Q129" s="3">
        <v>0</v>
      </c>
      <c r="R129" s="3">
        <v>10827.6</v>
      </c>
      <c r="S129" s="3">
        <v>0</v>
      </c>
      <c r="T129" s="3">
        <v>0</v>
      </c>
      <c r="U129" s="3">
        <v>8968.3700000000008</v>
      </c>
      <c r="V129" s="3">
        <v>0</v>
      </c>
      <c r="W129" s="3">
        <v>0</v>
      </c>
      <c r="X129" s="3">
        <v>7348.39</v>
      </c>
      <c r="Y129" s="3">
        <v>0</v>
      </c>
      <c r="Z129" s="3">
        <v>0</v>
      </c>
      <c r="AA129" s="3">
        <v>8013.69</v>
      </c>
      <c r="AB129" s="3">
        <v>0</v>
      </c>
      <c r="AC129" s="4">
        <f>SUM(Q129:AB129)</f>
        <v>35158.050000000003</v>
      </c>
      <c r="AD129" s="3">
        <v>0</v>
      </c>
      <c r="AE129" s="3">
        <v>13450.19</v>
      </c>
      <c r="AF129" s="3">
        <v>0</v>
      </c>
      <c r="AG129" s="3">
        <v>0</v>
      </c>
      <c r="AH129" s="3">
        <v>6917.97</v>
      </c>
      <c r="AI129" s="3">
        <v>0</v>
      </c>
      <c r="AJ129" s="3">
        <v>0</v>
      </c>
      <c r="AK129" s="3">
        <v>13621.99</v>
      </c>
      <c r="AL129" s="3">
        <v>0</v>
      </c>
      <c r="AM129" s="3">
        <v>0</v>
      </c>
      <c r="AN129" s="3">
        <v>4216.12</v>
      </c>
      <c r="AO129" s="3">
        <v>0</v>
      </c>
      <c r="AP129" s="4">
        <f>SUM(AD129:AO129)</f>
        <v>38206.270000000004</v>
      </c>
      <c r="AQ129" s="5">
        <v>0</v>
      </c>
      <c r="AR129" s="3">
        <v>0</v>
      </c>
      <c r="AS129" s="3">
        <v>0</v>
      </c>
      <c r="AT129" s="3">
        <v>0</v>
      </c>
      <c r="AU129" s="3">
        <v>14293.29558</v>
      </c>
      <c r="AV129" s="3">
        <v>0</v>
      </c>
      <c r="AW129" s="3">
        <v>0</v>
      </c>
      <c r="AX129" s="3">
        <v>5492.54493</v>
      </c>
      <c r="AY129" s="3">
        <v>0</v>
      </c>
      <c r="AZ129" s="3">
        <v>0</v>
      </c>
      <c r="BA129" s="3">
        <v>0</v>
      </c>
      <c r="BB129" s="3">
        <v>0</v>
      </c>
      <c r="BC129" s="4">
        <f>SUM(AQ129:BB129)</f>
        <v>19785.840510000002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4">
        <f>SUM(BD129:BO129)</f>
        <v>0</v>
      </c>
    </row>
    <row r="130" spans="1:68" s="10" customFormat="1" x14ac:dyDescent="0.25">
      <c r="A130" s="48" t="s">
        <v>20</v>
      </c>
      <c r="B130" s="49"/>
      <c r="C130" s="50" t="s">
        <v>152</v>
      </c>
      <c r="D130" s="51">
        <f t="shared" ref="D130:AI130" si="116">SUM(D128:D129)*-1</f>
        <v>0</v>
      </c>
      <c r="E130" s="51">
        <f t="shared" si="116"/>
        <v>0</v>
      </c>
      <c r="F130" s="51">
        <f t="shared" si="116"/>
        <v>0</v>
      </c>
      <c r="G130" s="51">
        <f t="shared" si="116"/>
        <v>0</v>
      </c>
      <c r="H130" s="51">
        <f t="shared" si="116"/>
        <v>-4122.8999999999996</v>
      </c>
      <c r="I130" s="51">
        <f t="shared" si="116"/>
        <v>0</v>
      </c>
      <c r="J130" s="51">
        <f t="shared" si="116"/>
        <v>0</v>
      </c>
      <c r="K130" s="51">
        <f t="shared" si="116"/>
        <v>-7087.68</v>
      </c>
      <c r="L130" s="51">
        <f t="shared" si="116"/>
        <v>0</v>
      </c>
      <c r="M130" s="51">
        <f t="shared" si="116"/>
        <v>0</v>
      </c>
      <c r="N130" s="51">
        <f t="shared" si="116"/>
        <v>-5887.01</v>
      </c>
      <c r="O130" s="51">
        <f t="shared" si="116"/>
        <v>0</v>
      </c>
      <c r="P130" s="52">
        <f t="shared" si="116"/>
        <v>-17097.59</v>
      </c>
      <c r="Q130" s="51">
        <f t="shared" si="116"/>
        <v>0</v>
      </c>
      <c r="R130" s="51">
        <f t="shared" si="116"/>
        <v>-10827.6</v>
      </c>
      <c r="S130" s="51">
        <f t="shared" si="116"/>
        <v>0</v>
      </c>
      <c r="T130" s="51">
        <f t="shared" si="116"/>
        <v>0</v>
      </c>
      <c r="U130" s="51">
        <f t="shared" si="116"/>
        <v>-8968.3700000000008</v>
      </c>
      <c r="V130" s="51">
        <f t="shared" si="116"/>
        <v>0</v>
      </c>
      <c r="W130" s="51">
        <f t="shared" si="116"/>
        <v>0</v>
      </c>
      <c r="X130" s="51">
        <f t="shared" si="116"/>
        <v>-7348.39</v>
      </c>
      <c r="Y130" s="51">
        <f t="shared" si="116"/>
        <v>0</v>
      </c>
      <c r="Z130" s="51">
        <f t="shared" si="116"/>
        <v>0</v>
      </c>
      <c r="AA130" s="51">
        <f t="shared" si="116"/>
        <v>-8013.69</v>
      </c>
      <c r="AB130" s="51">
        <f t="shared" si="116"/>
        <v>0</v>
      </c>
      <c r="AC130" s="52">
        <f t="shared" si="116"/>
        <v>-35158.050000000003</v>
      </c>
      <c r="AD130" s="51">
        <f t="shared" si="116"/>
        <v>0</v>
      </c>
      <c r="AE130" s="51">
        <f t="shared" si="116"/>
        <v>-13450.19</v>
      </c>
      <c r="AF130" s="51">
        <f t="shared" si="116"/>
        <v>0</v>
      </c>
      <c r="AG130" s="51">
        <f t="shared" si="116"/>
        <v>0</v>
      </c>
      <c r="AH130" s="51">
        <f t="shared" si="116"/>
        <v>-6917.97</v>
      </c>
      <c r="AI130" s="51">
        <f t="shared" si="116"/>
        <v>0</v>
      </c>
      <c r="AJ130" s="51">
        <f t="shared" ref="AJ130:BO130" si="117">SUM(AJ128:AJ129)*-1</f>
        <v>0</v>
      </c>
      <c r="AK130" s="51">
        <f t="shared" si="117"/>
        <v>-13621.99</v>
      </c>
      <c r="AL130" s="51">
        <f t="shared" si="117"/>
        <v>0</v>
      </c>
      <c r="AM130" s="51">
        <f t="shared" si="117"/>
        <v>0</v>
      </c>
      <c r="AN130" s="51">
        <f t="shared" si="117"/>
        <v>-4216.12</v>
      </c>
      <c r="AO130" s="51">
        <f t="shared" si="117"/>
        <v>0</v>
      </c>
      <c r="AP130" s="52">
        <f t="shared" si="117"/>
        <v>-38206.270000000004</v>
      </c>
      <c r="AQ130" s="51">
        <f t="shared" si="117"/>
        <v>0</v>
      </c>
      <c r="AR130" s="51">
        <f t="shared" si="117"/>
        <v>0</v>
      </c>
      <c r="AS130" s="51">
        <f t="shared" si="117"/>
        <v>0</v>
      </c>
      <c r="AT130" s="51">
        <f t="shared" si="117"/>
        <v>0</v>
      </c>
      <c r="AU130" s="51">
        <f t="shared" si="117"/>
        <v>-14293.29558</v>
      </c>
      <c r="AV130" s="51">
        <f t="shared" si="117"/>
        <v>0</v>
      </c>
      <c r="AW130" s="51">
        <f t="shared" si="117"/>
        <v>0</v>
      </c>
      <c r="AX130" s="51">
        <f t="shared" si="117"/>
        <v>-5492.54493</v>
      </c>
      <c r="AY130" s="51">
        <f t="shared" si="117"/>
        <v>0</v>
      </c>
      <c r="AZ130" s="51">
        <f t="shared" si="117"/>
        <v>0</v>
      </c>
      <c r="BA130" s="51">
        <f t="shared" si="117"/>
        <v>0</v>
      </c>
      <c r="BB130" s="51">
        <f t="shared" si="117"/>
        <v>0</v>
      </c>
      <c r="BC130" s="52">
        <f t="shared" si="117"/>
        <v>-19785.840510000002</v>
      </c>
      <c r="BD130" s="51">
        <f t="shared" si="117"/>
        <v>0</v>
      </c>
      <c r="BE130" s="51">
        <f t="shared" si="117"/>
        <v>0</v>
      </c>
      <c r="BF130" s="51">
        <f t="shared" si="117"/>
        <v>0</v>
      </c>
      <c r="BG130" s="51">
        <f t="shared" si="117"/>
        <v>0</v>
      </c>
      <c r="BH130" s="51">
        <f t="shared" si="117"/>
        <v>0</v>
      </c>
      <c r="BI130" s="51">
        <f t="shared" si="117"/>
        <v>0</v>
      </c>
      <c r="BJ130" s="51">
        <f t="shared" si="117"/>
        <v>0</v>
      </c>
      <c r="BK130" s="51">
        <f t="shared" si="117"/>
        <v>0</v>
      </c>
      <c r="BL130" s="51">
        <f t="shared" si="117"/>
        <v>0</v>
      </c>
      <c r="BM130" s="51">
        <f t="shared" si="117"/>
        <v>0</v>
      </c>
      <c r="BN130" s="51">
        <f t="shared" si="117"/>
        <v>0</v>
      </c>
      <c r="BO130" s="51">
        <f t="shared" si="117"/>
        <v>0</v>
      </c>
      <c r="BP130" s="52">
        <f t="shared" ref="BP130:CU130" si="118">SUM(BP128:BP129)*-1</f>
        <v>0</v>
      </c>
    </row>
    <row r="132" spans="1:68" s="8" customFormat="1" x14ac:dyDescent="0.25">
      <c r="A132" s="38" t="s">
        <v>153</v>
      </c>
      <c r="B132" s="39"/>
      <c r="C132" s="38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1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1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1"/>
      <c r="AQ132" s="42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1"/>
      <c r="BD132" s="4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1"/>
    </row>
    <row r="133" spans="1:68" x14ac:dyDescent="0.25">
      <c r="A133" t="s">
        <v>154</v>
      </c>
      <c r="B133" s="2" t="s">
        <v>155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4">
        <f>SUM(D133:O133)</f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26294.153610000001</v>
      </c>
      <c r="AA133" s="3">
        <v>0</v>
      </c>
      <c r="AB133" s="3">
        <v>0</v>
      </c>
      <c r="AC133" s="4">
        <f>SUM(Q133:AB133)</f>
        <v>26294.153610000001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40184.010909999997</v>
      </c>
      <c r="AN133" s="3">
        <v>0</v>
      </c>
      <c r="AO133" s="3">
        <v>0</v>
      </c>
      <c r="AP133" s="4">
        <f>SUM(AD133:AO133)</f>
        <v>40184.010909999997</v>
      </c>
      <c r="AQ133" s="5">
        <v>7275.0059499999998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4">
        <f>SUM(AQ133:BB133)</f>
        <v>7275.0059499999998</v>
      </c>
      <c r="BD133" s="3">
        <v>24770.399290000001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4">
        <f>SUM(BD133:BO133)</f>
        <v>24770.399290000001</v>
      </c>
    </row>
    <row r="134" spans="1:68" s="10" customFormat="1" x14ac:dyDescent="0.25">
      <c r="A134" s="48" t="s">
        <v>20</v>
      </c>
      <c r="B134" s="49"/>
      <c r="C134" s="50" t="s">
        <v>156</v>
      </c>
      <c r="D134" s="51">
        <f t="shared" ref="D134:AI134" si="119">SUM(D133:D133)*-1</f>
        <v>0</v>
      </c>
      <c r="E134" s="51">
        <f t="shared" si="119"/>
        <v>0</v>
      </c>
      <c r="F134" s="51">
        <f t="shared" si="119"/>
        <v>0</v>
      </c>
      <c r="G134" s="51">
        <f t="shared" si="119"/>
        <v>0</v>
      </c>
      <c r="H134" s="51">
        <f t="shared" si="119"/>
        <v>0</v>
      </c>
      <c r="I134" s="51">
        <f t="shared" si="119"/>
        <v>0</v>
      </c>
      <c r="J134" s="51">
        <f t="shared" si="119"/>
        <v>0</v>
      </c>
      <c r="K134" s="51">
        <f t="shared" si="119"/>
        <v>0</v>
      </c>
      <c r="L134" s="51">
        <f t="shared" si="119"/>
        <v>0</v>
      </c>
      <c r="M134" s="51">
        <f t="shared" si="119"/>
        <v>0</v>
      </c>
      <c r="N134" s="51">
        <f t="shared" si="119"/>
        <v>0</v>
      </c>
      <c r="O134" s="51">
        <f t="shared" si="119"/>
        <v>0</v>
      </c>
      <c r="P134" s="52">
        <f t="shared" si="119"/>
        <v>0</v>
      </c>
      <c r="Q134" s="51">
        <f t="shared" si="119"/>
        <v>0</v>
      </c>
      <c r="R134" s="51">
        <f t="shared" si="119"/>
        <v>0</v>
      </c>
      <c r="S134" s="51">
        <f t="shared" si="119"/>
        <v>0</v>
      </c>
      <c r="T134" s="51">
        <f t="shared" si="119"/>
        <v>0</v>
      </c>
      <c r="U134" s="51">
        <f t="shared" si="119"/>
        <v>0</v>
      </c>
      <c r="V134" s="51">
        <f t="shared" si="119"/>
        <v>0</v>
      </c>
      <c r="W134" s="51">
        <f t="shared" si="119"/>
        <v>0</v>
      </c>
      <c r="X134" s="51">
        <f t="shared" si="119"/>
        <v>0</v>
      </c>
      <c r="Y134" s="51">
        <f t="shared" si="119"/>
        <v>0</v>
      </c>
      <c r="Z134" s="51">
        <f t="shared" si="119"/>
        <v>-26294.153610000001</v>
      </c>
      <c r="AA134" s="51">
        <f t="shared" si="119"/>
        <v>0</v>
      </c>
      <c r="AB134" s="51">
        <f t="shared" si="119"/>
        <v>0</v>
      </c>
      <c r="AC134" s="52">
        <f t="shared" si="119"/>
        <v>-26294.153610000001</v>
      </c>
      <c r="AD134" s="51">
        <f t="shared" si="119"/>
        <v>0</v>
      </c>
      <c r="AE134" s="51">
        <f t="shared" si="119"/>
        <v>0</v>
      </c>
      <c r="AF134" s="51">
        <f t="shared" si="119"/>
        <v>0</v>
      </c>
      <c r="AG134" s="51">
        <f t="shared" si="119"/>
        <v>0</v>
      </c>
      <c r="AH134" s="51">
        <f t="shared" si="119"/>
        <v>0</v>
      </c>
      <c r="AI134" s="51">
        <f t="shared" si="119"/>
        <v>0</v>
      </c>
      <c r="AJ134" s="51">
        <f t="shared" ref="AJ134:BO134" si="120">SUM(AJ133:AJ133)*-1</f>
        <v>0</v>
      </c>
      <c r="AK134" s="51">
        <f t="shared" si="120"/>
        <v>0</v>
      </c>
      <c r="AL134" s="51">
        <f t="shared" si="120"/>
        <v>0</v>
      </c>
      <c r="AM134" s="51">
        <f t="shared" si="120"/>
        <v>-40184.010909999997</v>
      </c>
      <c r="AN134" s="51">
        <f t="shared" si="120"/>
        <v>0</v>
      </c>
      <c r="AO134" s="51">
        <f t="shared" si="120"/>
        <v>0</v>
      </c>
      <c r="AP134" s="52">
        <f t="shared" si="120"/>
        <v>-40184.010909999997</v>
      </c>
      <c r="AQ134" s="51">
        <f t="shared" si="120"/>
        <v>-7275.0059499999998</v>
      </c>
      <c r="AR134" s="51">
        <f t="shared" si="120"/>
        <v>0</v>
      </c>
      <c r="AS134" s="51">
        <f t="shared" si="120"/>
        <v>0</v>
      </c>
      <c r="AT134" s="51">
        <f t="shared" si="120"/>
        <v>0</v>
      </c>
      <c r="AU134" s="51">
        <f t="shared" si="120"/>
        <v>0</v>
      </c>
      <c r="AV134" s="51">
        <f t="shared" si="120"/>
        <v>0</v>
      </c>
      <c r="AW134" s="51">
        <f t="shared" si="120"/>
        <v>0</v>
      </c>
      <c r="AX134" s="51">
        <f t="shared" si="120"/>
        <v>0</v>
      </c>
      <c r="AY134" s="51">
        <f t="shared" si="120"/>
        <v>0</v>
      </c>
      <c r="AZ134" s="51">
        <f t="shared" si="120"/>
        <v>0</v>
      </c>
      <c r="BA134" s="51">
        <f t="shared" si="120"/>
        <v>0</v>
      </c>
      <c r="BB134" s="51">
        <f t="shared" si="120"/>
        <v>0</v>
      </c>
      <c r="BC134" s="52">
        <f t="shared" si="120"/>
        <v>-7275.0059499999998</v>
      </c>
      <c r="BD134" s="51">
        <f t="shared" si="120"/>
        <v>-24770.399290000001</v>
      </c>
      <c r="BE134" s="51">
        <f t="shared" si="120"/>
        <v>0</v>
      </c>
      <c r="BF134" s="51">
        <f t="shared" si="120"/>
        <v>0</v>
      </c>
      <c r="BG134" s="51">
        <f t="shared" si="120"/>
        <v>0</v>
      </c>
      <c r="BH134" s="51">
        <f t="shared" si="120"/>
        <v>0</v>
      </c>
      <c r="BI134" s="51">
        <f t="shared" si="120"/>
        <v>0</v>
      </c>
      <c r="BJ134" s="51">
        <f t="shared" si="120"/>
        <v>0</v>
      </c>
      <c r="BK134" s="51">
        <f t="shared" si="120"/>
        <v>0</v>
      </c>
      <c r="BL134" s="51">
        <f t="shared" si="120"/>
        <v>0</v>
      </c>
      <c r="BM134" s="51">
        <f t="shared" si="120"/>
        <v>0</v>
      </c>
      <c r="BN134" s="51">
        <f t="shared" si="120"/>
        <v>0</v>
      </c>
      <c r="BO134" s="51">
        <f t="shared" si="120"/>
        <v>0</v>
      </c>
      <c r="BP134" s="52">
        <f t="shared" ref="BP134:CU134" si="121">SUM(BP133:BP133)*-1</f>
        <v>-24770.399290000001</v>
      </c>
    </row>
    <row r="136" spans="1:68" s="11" customFormat="1" x14ac:dyDescent="0.25">
      <c r="A136" s="11" t="s">
        <v>107</v>
      </c>
      <c r="B136" s="53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5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5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5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5"/>
      <c r="BD136" s="54"/>
      <c r="BE136" s="54"/>
      <c r="BF136" s="54"/>
      <c r="BG136" s="54"/>
      <c r="BH136" s="54"/>
      <c r="BI136" s="54"/>
      <c r="BJ136" s="54"/>
      <c r="BK136" s="54"/>
      <c r="BL136" s="54"/>
      <c r="BM136" s="54"/>
      <c r="BN136" s="54"/>
      <c r="BO136" s="54"/>
      <c r="BP136" s="55"/>
    </row>
    <row r="137" spans="1:68" customFormat="1" x14ac:dyDescent="0.25">
      <c r="A137" t="s">
        <v>152</v>
      </c>
      <c r="B137" s="2" t="s">
        <v>147</v>
      </c>
      <c r="D137" s="27">
        <f t="shared" ref="D137:AI137" si="122">D130</f>
        <v>0</v>
      </c>
      <c r="E137" s="27">
        <f t="shared" si="122"/>
        <v>0</v>
      </c>
      <c r="F137" s="27">
        <f t="shared" si="122"/>
        <v>0</v>
      </c>
      <c r="G137" s="27">
        <f t="shared" si="122"/>
        <v>0</v>
      </c>
      <c r="H137" s="27">
        <f t="shared" si="122"/>
        <v>-4122.8999999999996</v>
      </c>
      <c r="I137" s="27">
        <f t="shared" si="122"/>
        <v>0</v>
      </c>
      <c r="J137" s="27">
        <f t="shared" si="122"/>
        <v>0</v>
      </c>
      <c r="K137" s="27">
        <f t="shared" si="122"/>
        <v>-7087.68</v>
      </c>
      <c r="L137" s="27">
        <f t="shared" si="122"/>
        <v>0</v>
      </c>
      <c r="M137" s="27">
        <f t="shared" si="122"/>
        <v>0</v>
      </c>
      <c r="N137" s="27">
        <f t="shared" si="122"/>
        <v>-5887.01</v>
      </c>
      <c r="O137" s="27">
        <f t="shared" si="122"/>
        <v>0</v>
      </c>
      <c r="P137" s="4">
        <f t="shared" si="122"/>
        <v>-17097.59</v>
      </c>
      <c r="Q137" s="27">
        <f t="shared" si="122"/>
        <v>0</v>
      </c>
      <c r="R137" s="27">
        <f t="shared" si="122"/>
        <v>-10827.6</v>
      </c>
      <c r="S137" s="27">
        <f t="shared" si="122"/>
        <v>0</v>
      </c>
      <c r="T137" s="27">
        <f t="shared" si="122"/>
        <v>0</v>
      </c>
      <c r="U137" s="27">
        <f t="shared" si="122"/>
        <v>-8968.3700000000008</v>
      </c>
      <c r="V137" s="27">
        <f t="shared" si="122"/>
        <v>0</v>
      </c>
      <c r="W137" s="27">
        <f t="shared" si="122"/>
        <v>0</v>
      </c>
      <c r="X137" s="27">
        <f t="shared" si="122"/>
        <v>-7348.39</v>
      </c>
      <c r="Y137" s="27">
        <f t="shared" si="122"/>
        <v>0</v>
      </c>
      <c r="Z137" s="27">
        <f t="shared" si="122"/>
        <v>0</v>
      </c>
      <c r="AA137" s="27">
        <f t="shared" si="122"/>
        <v>-8013.69</v>
      </c>
      <c r="AB137" s="27">
        <f t="shared" si="122"/>
        <v>0</v>
      </c>
      <c r="AC137" s="4">
        <f t="shared" si="122"/>
        <v>-35158.050000000003</v>
      </c>
      <c r="AD137" s="27">
        <f t="shared" si="122"/>
        <v>0</v>
      </c>
      <c r="AE137" s="27">
        <f t="shared" si="122"/>
        <v>-13450.19</v>
      </c>
      <c r="AF137" s="27">
        <f t="shared" si="122"/>
        <v>0</v>
      </c>
      <c r="AG137" s="27">
        <f t="shared" si="122"/>
        <v>0</v>
      </c>
      <c r="AH137" s="27">
        <f t="shared" si="122"/>
        <v>-6917.97</v>
      </c>
      <c r="AI137" s="27">
        <f t="shared" si="122"/>
        <v>0</v>
      </c>
      <c r="AJ137" s="27">
        <f t="shared" ref="AJ137:BP137" si="123">AJ130</f>
        <v>0</v>
      </c>
      <c r="AK137" s="27">
        <f t="shared" si="123"/>
        <v>-13621.99</v>
      </c>
      <c r="AL137" s="27">
        <f t="shared" si="123"/>
        <v>0</v>
      </c>
      <c r="AM137" s="27">
        <f t="shared" si="123"/>
        <v>0</v>
      </c>
      <c r="AN137" s="27">
        <f t="shared" si="123"/>
        <v>-4216.12</v>
      </c>
      <c r="AO137" s="27">
        <f t="shared" si="123"/>
        <v>0</v>
      </c>
      <c r="AP137" s="4">
        <f t="shared" si="123"/>
        <v>-38206.270000000004</v>
      </c>
      <c r="AQ137" s="28">
        <f t="shared" si="123"/>
        <v>0</v>
      </c>
      <c r="AR137" s="27">
        <f t="shared" si="123"/>
        <v>0</v>
      </c>
      <c r="AS137" s="27">
        <f t="shared" si="123"/>
        <v>0</v>
      </c>
      <c r="AT137" s="27">
        <f t="shared" si="123"/>
        <v>0</v>
      </c>
      <c r="AU137" s="27">
        <f t="shared" si="123"/>
        <v>-14293.29558</v>
      </c>
      <c r="AV137" s="27">
        <f t="shared" si="123"/>
        <v>0</v>
      </c>
      <c r="AW137" s="27">
        <f t="shared" si="123"/>
        <v>0</v>
      </c>
      <c r="AX137" s="27">
        <f t="shared" si="123"/>
        <v>-5492.54493</v>
      </c>
      <c r="AY137" s="27">
        <f t="shared" si="123"/>
        <v>0</v>
      </c>
      <c r="AZ137" s="27">
        <f t="shared" si="123"/>
        <v>0</v>
      </c>
      <c r="BA137" s="27">
        <f t="shared" si="123"/>
        <v>0</v>
      </c>
      <c r="BB137" s="27">
        <f t="shared" si="123"/>
        <v>0</v>
      </c>
      <c r="BC137" s="4">
        <f t="shared" si="123"/>
        <v>-19785.840510000002</v>
      </c>
      <c r="BD137" s="27">
        <f t="shared" si="123"/>
        <v>0</v>
      </c>
      <c r="BE137" s="27">
        <f t="shared" si="123"/>
        <v>0</v>
      </c>
      <c r="BF137" s="27">
        <f t="shared" si="123"/>
        <v>0</v>
      </c>
      <c r="BG137" s="27">
        <f t="shared" si="123"/>
        <v>0</v>
      </c>
      <c r="BH137" s="27">
        <f t="shared" si="123"/>
        <v>0</v>
      </c>
      <c r="BI137" s="27">
        <f t="shared" si="123"/>
        <v>0</v>
      </c>
      <c r="BJ137" s="27">
        <f t="shared" si="123"/>
        <v>0</v>
      </c>
      <c r="BK137" s="27">
        <f t="shared" si="123"/>
        <v>0</v>
      </c>
      <c r="BL137" s="27">
        <f t="shared" si="123"/>
        <v>0</v>
      </c>
      <c r="BM137" s="27">
        <f t="shared" si="123"/>
        <v>0</v>
      </c>
      <c r="BN137" s="27">
        <f t="shared" si="123"/>
        <v>0</v>
      </c>
      <c r="BO137" s="27">
        <f t="shared" si="123"/>
        <v>0</v>
      </c>
      <c r="BP137" s="4">
        <f t="shared" si="123"/>
        <v>0</v>
      </c>
    </row>
    <row r="138" spans="1:68" s="12" customFormat="1" x14ac:dyDescent="0.25">
      <c r="A138" s="12" t="s">
        <v>156</v>
      </c>
      <c r="B138" s="56" t="s">
        <v>153</v>
      </c>
      <c r="D138" s="57">
        <f t="shared" ref="D138:AI138" si="124">D134</f>
        <v>0</v>
      </c>
      <c r="E138" s="57">
        <f t="shared" si="124"/>
        <v>0</v>
      </c>
      <c r="F138" s="57">
        <f t="shared" si="124"/>
        <v>0</v>
      </c>
      <c r="G138" s="57">
        <f t="shared" si="124"/>
        <v>0</v>
      </c>
      <c r="H138" s="57">
        <f t="shared" si="124"/>
        <v>0</v>
      </c>
      <c r="I138" s="57">
        <f t="shared" si="124"/>
        <v>0</v>
      </c>
      <c r="J138" s="57">
        <f t="shared" si="124"/>
        <v>0</v>
      </c>
      <c r="K138" s="57">
        <f t="shared" si="124"/>
        <v>0</v>
      </c>
      <c r="L138" s="57">
        <f t="shared" si="124"/>
        <v>0</v>
      </c>
      <c r="M138" s="57">
        <f t="shared" si="124"/>
        <v>0</v>
      </c>
      <c r="N138" s="57">
        <f t="shared" si="124"/>
        <v>0</v>
      </c>
      <c r="O138" s="57">
        <f t="shared" si="124"/>
        <v>0</v>
      </c>
      <c r="P138" s="58">
        <f t="shared" si="124"/>
        <v>0</v>
      </c>
      <c r="Q138" s="57">
        <f t="shared" si="124"/>
        <v>0</v>
      </c>
      <c r="R138" s="57">
        <f t="shared" si="124"/>
        <v>0</v>
      </c>
      <c r="S138" s="57">
        <f t="shared" si="124"/>
        <v>0</v>
      </c>
      <c r="T138" s="57">
        <f t="shared" si="124"/>
        <v>0</v>
      </c>
      <c r="U138" s="57">
        <f t="shared" si="124"/>
        <v>0</v>
      </c>
      <c r="V138" s="57">
        <f t="shared" si="124"/>
        <v>0</v>
      </c>
      <c r="W138" s="57">
        <f t="shared" si="124"/>
        <v>0</v>
      </c>
      <c r="X138" s="57">
        <f t="shared" si="124"/>
        <v>0</v>
      </c>
      <c r="Y138" s="57">
        <f t="shared" si="124"/>
        <v>0</v>
      </c>
      <c r="Z138" s="57">
        <f t="shared" si="124"/>
        <v>-26294.153610000001</v>
      </c>
      <c r="AA138" s="57">
        <f t="shared" si="124"/>
        <v>0</v>
      </c>
      <c r="AB138" s="57">
        <f t="shared" si="124"/>
        <v>0</v>
      </c>
      <c r="AC138" s="58">
        <f t="shared" si="124"/>
        <v>-26294.153610000001</v>
      </c>
      <c r="AD138" s="57">
        <f t="shared" si="124"/>
        <v>0</v>
      </c>
      <c r="AE138" s="57">
        <f t="shared" si="124"/>
        <v>0</v>
      </c>
      <c r="AF138" s="57">
        <f t="shared" si="124"/>
        <v>0</v>
      </c>
      <c r="AG138" s="57">
        <f t="shared" si="124"/>
        <v>0</v>
      </c>
      <c r="AH138" s="57">
        <f t="shared" si="124"/>
        <v>0</v>
      </c>
      <c r="AI138" s="57">
        <f t="shared" si="124"/>
        <v>0</v>
      </c>
      <c r="AJ138" s="57">
        <f t="shared" ref="AJ138:BP138" si="125">AJ134</f>
        <v>0</v>
      </c>
      <c r="AK138" s="57">
        <f t="shared" si="125"/>
        <v>0</v>
      </c>
      <c r="AL138" s="57">
        <f t="shared" si="125"/>
        <v>0</v>
      </c>
      <c r="AM138" s="57">
        <f t="shared" si="125"/>
        <v>-40184.010909999997</v>
      </c>
      <c r="AN138" s="57">
        <f t="shared" si="125"/>
        <v>0</v>
      </c>
      <c r="AO138" s="57">
        <f t="shared" si="125"/>
        <v>0</v>
      </c>
      <c r="AP138" s="58">
        <f t="shared" si="125"/>
        <v>-40184.010909999997</v>
      </c>
      <c r="AQ138" s="59">
        <f t="shared" si="125"/>
        <v>-7275.0059499999998</v>
      </c>
      <c r="AR138" s="57">
        <f t="shared" si="125"/>
        <v>0</v>
      </c>
      <c r="AS138" s="57">
        <f t="shared" si="125"/>
        <v>0</v>
      </c>
      <c r="AT138" s="57">
        <f t="shared" si="125"/>
        <v>0</v>
      </c>
      <c r="AU138" s="57">
        <f t="shared" si="125"/>
        <v>0</v>
      </c>
      <c r="AV138" s="57">
        <f t="shared" si="125"/>
        <v>0</v>
      </c>
      <c r="AW138" s="57">
        <f t="shared" si="125"/>
        <v>0</v>
      </c>
      <c r="AX138" s="57">
        <f t="shared" si="125"/>
        <v>0</v>
      </c>
      <c r="AY138" s="57">
        <f t="shared" si="125"/>
        <v>0</v>
      </c>
      <c r="AZ138" s="57">
        <f t="shared" si="125"/>
        <v>0</v>
      </c>
      <c r="BA138" s="57">
        <f t="shared" si="125"/>
        <v>0</v>
      </c>
      <c r="BB138" s="57">
        <f t="shared" si="125"/>
        <v>0</v>
      </c>
      <c r="BC138" s="58">
        <f t="shared" si="125"/>
        <v>-7275.0059499999998</v>
      </c>
      <c r="BD138" s="57">
        <f t="shared" si="125"/>
        <v>-24770.399290000001</v>
      </c>
      <c r="BE138" s="57">
        <f t="shared" si="125"/>
        <v>0</v>
      </c>
      <c r="BF138" s="57">
        <f t="shared" si="125"/>
        <v>0</v>
      </c>
      <c r="BG138" s="57">
        <f t="shared" si="125"/>
        <v>0</v>
      </c>
      <c r="BH138" s="57">
        <f t="shared" si="125"/>
        <v>0</v>
      </c>
      <c r="BI138" s="57">
        <f t="shared" si="125"/>
        <v>0</v>
      </c>
      <c r="BJ138" s="57">
        <f t="shared" si="125"/>
        <v>0</v>
      </c>
      <c r="BK138" s="57">
        <f t="shared" si="125"/>
        <v>0</v>
      </c>
      <c r="BL138" s="57">
        <f t="shared" si="125"/>
        <v>0</v>
      </c>
      <c r="BM138" s="57">
        <f t="shared" si="125"/>
        <v>0</v>
      </c>
      <c r="BN138" s="57">
        <f t="shared" si="125"/>
        <v>0</v>
      </c>
      <c r="BO138" s="57">
        <f t="shared" si="125"/>
        <v>0</v>
      </c>
      <c r="BP138" s="58">
        <f t="shared" si="125"/>
        <v>-24770.399290000001</v>
      </c>
    </row>
    <row r="139" spans="1:68" s="13" customFormat="1" x14ac:dyDescent="0.25">
      <c r="A139" s="13" t="s">
        <v>108</v>
      </c>
      <c r="B139" s="60"/>
      <c r="D139" s="61">
        <f t="shared" ref="D139:AI139" si="126">SUM(D137:D138)</f>
        <v>0</v>
      </c>
      <c r="E139" s="61">
        <f t="shared" si="126"/>
        <v>0</v>
      </c>
      <c r="F139" s="61">
        <f t="shared" si="126"/>
        <v>0</v>
      </c>
      <c r="G139" s="61">
        <f t="shared" si="126"/>
        <v>0</v>
      </c>
      <c r="H139" s="61">
        <f t="shared" si="126"/>
        <v>-4122.8999999999996</v>
      </c>
      <c r="I139" s="61">
        <f t="shared" si="126"/>
        <v>0</v>
      </c>
      <c r="J139" s="61">
        <f t="shared" si="126"/>
        <v>0</v>
      </c>
      <c r="K139" s="61">
        <f t="shared" si="126"/>
        <v>-7087.68</v>
      </c>
      <c r="L139" s="61">
        <f t="shared" si="126"/>
        <v>0</v>
      </c>
      <c r="M139" s="61">
        <f t="shared" si="126"/>
        <v>0</v>
      </c>
      <c r="N139" s="61">
        <f t="shared" si="126"/>
        <v>-5887.01</v>
      </c>
      <c r="O139" s="61">
        <f t="shared" si="126"/>
        <v>0</v>
      </c>
      <c r="P139" s="62">
        <f t="shared" si="126"/>
        <v>-17097.59</v>
      </c>
      <c r="Q139" s="61">
        <f t="shared" si="126"/>
        <v>0</v>
      </c>
      <c r="R139" s="61">
        <f t="shared" si="126"/>
        <v>-10827.6</v>
      </c>
      <c r="S139" s="61">
        <f t="shared" si="126"/>
        <v>0</v>
      </c>
      <c r="T139" s="61">
        <f t="shared" si="126"/>
        <v>0</v>
      </c>
      <c r="U139" s="61">
        <f t="shared" si="126"/>
        <v>-8968.3700000000008</v>
      </c>
      <c r="V139" s="61">
        <f t="shared" si="126"/>
        <v>0</v>
      </c>
      <c r="W139" s="61">
        <f t="shared" si="126"/>
        <v>0</v>
      </c>
      <c r="X139" s="61">
        <f t="shared" si="126"/>
        <v>-7348.39</v>
      </c>
      <c r="Y139" s="61">
        <f t="shared" si="126"/>
        <v>0</v>
      </c>
      <c r="Z139" s="61">
        <f t="shared" si="126"/>
        <v>-26294.153610000001</v>
      </c>
      <c r="AA139" s="61">
        <f t="shared" si="126"/>
        <v>-8013.69</v>
      </c>
      <c r="AB139" s="61">
        <f t="shared" si="126"/>
        <v>0</v>
      </c>
      <c r="AC139" s="62">
        <f t="shared" si="126"/>
        <v>-61452.203610000004</v>
      </c>
      <c r="AD139" s="61">
        <f t="shared" si="126"/>
        <v>0</v>
      </c>
      <c r="AE139" s="61">
        <f t="shared" si="126"/>
        <v>-13450.19</v>
      </c>
      <c r="AF139" s="61">
        <f t="shared" si="126"/>
        <v>0</v>
      </c>
      <c r="AG139" s="61">
        <f t="shared" si="126"/>
        <v>0</v>
      </c>
      <c r="AH139" s="61">
        <f t="shared" si="126"/>
        <v>-6917.97</v>
      </c>
      <c r="AI139" s="61">
        <f t="shared" si="126"/>
        <v>0</v>
      </c>
      <c r="AJ139" s="61">
        <f t="shared" ref="AJ139:BO139" si="127">SUM(AJ137:AJ138)</f>
        <v>0</v>
      </c>
      <c r="AK139" s="61">
        <f t="shared" si="127"/>
        <v>-13621.99</v>
      </c>
      <c r="AL139" s="61">
        <f t="shared" si="127"/>
        <v>0</v>
      </c>
      <c r="AM139" s="61">
        <f t="shared" si="127"/>
        <v>-40184.010909999997</v>
      </c>
      <c r="AN139" s="61">
        <f t="shared" si="127"/>
        <v>-4216.12</v>
      </c>
      <c r="AO139" s="61">
        <f t="shared" si="127"/>
        <v>0</v>
      </c>
      <c r="AP139" s="62">
        <f t="shared" si="127"/>
        <v>-78390.280910000001</v>
      </c>
      <c r="AQ139" s="63">
        <f t="shared" si="127"/>
        <v>-7275.0059499999998</v>
      </c>
      <c r="AR139" s="61">
        <f t="shared" si="127"/>
        <v>0</v>
      </c>
      <c r="AS139" s="61">
        <f t="shared" si="127"/>
        <v>0</v>
      </c>
      <c r="AT139" s="61">
        <f t="shared" si="127"/>
        <v>0</v>
      </c>
      <c r="AU139" s="61">
        <f t="shared" si="127"/>
        <v>-14293.29558</v>
      </c>
      <c r="AV139" s="61">
        <f t="shared" si="127"/>
        <v>0</v>
      </c>
      <c r="AW139" s="61">
        <f t="shared" si="127"/>
        <v>0</v>
      </c>
      <c r="AX139" s="61">
        <f t="shared" si="127"/>
        <v>-5492.54493</v>
      </c>
      <c r="AY139" s="61">
        <f t="shared" si="127"/>
        <v>0</v>
      </c>
      <c r="AZ139" s="61">
        <f t="shared" si="127"/>
        <v>0</v>
      </c>
      <c r="BA139" s="61">
        <f t="shared" si="127"/>
        <v>0</v>
      </c>
      <c r="BB139" s="61">
        <f t="shared" si="127"/>
        <v>0</v>
      </c>
      <c r="BC139" s="62">
        <f t="shared" si="127"/>
        <v>-27060.846460000001</v>
      </c>
      <c r="BD139" s="61">
        <f t="shared" si="127"/>
        <v>-24770.399290000001</v>
      </c>
      <c r="BE139" s="61">
        <f t="shared" si="127"/>
        <v>0</v>
      </c>
      <c r="BF139" s="61">
        <f t="shared" si="127"/>
        <v>0</v>
      </c>
      <c r="BG139" s="61">
        <f t="shared" si="127"/>
        <v>0</v>
      </c>
      <c r="BH139" s="61">
        <f t="shared" si="127"/>
        <v>0</v>
      </c>
      <c r="BI139" s="61">
        <f t="shared" si="127"/>
        <v>0</v>
      </c>
      <c r="BJ139" s="61">
        <f t="shared" si="127"/>
        <v>0</v>
      </c>
      <c r="BK139" s="61">
        <f t="shared" si="127"/>
        <v>0</v>
      </c>
      <c r="BL139" s="61">
        <f t="shared" si="127"/>
        <v>0</v>
      </c>
      <c r="BM139" s="61">
        <f t="shared" si="127"/>
        <v>0</v>
      </c>
      <c r="BN139" s="61">
        <f t="shared" si="127"/>
        <v>0</v>
      </c>
      <c r="BO139" s="61">
        <f t="shared" si="127"/>
        <v>0</v>
      </c>
      <c r="BP139" s="62">
        <f t="shared" ref="BP139:CU139" si="128">SUM(BP137:BP138)</f>
        <v>-24770.399290000001</v>
      </c>
    </row>
    <row r="141" spans="1:68" s="16" customFormat="1" x14ac:dyDescent="0.25">
      <c r="A141" s="16" t="s">
        <v>157</v>
      </c>
      <c r="B141" s="73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5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5"/>
      <c r="AD141" s="74"/>
      <c r="AE141" s="74"/>
      <c r="AF141" s="74"/>
      <c r="AG141" s="74"/>
      <c r="AH141" s="74"/>
      <c r="AI141" s="74"/>
      <c r="AJ141" s="74"/>
      <c r="AK141" s="74"/>
      <c r="AL141" s="74"/>
      <c r="AM141" s="74"/>
      <c r="AN141" s="74"/>
      <c r="AO141" s="74"/>
      <c r="AP141" s="75"/>
      <c r="AQ141" s="74"/>
      <c r="AR141" s="74"/>
      <c r="AS141" s="74"/>
      <c r="AT141" s="74"/>
      <c r="AU141" s="74"/>
      <c r="AV141" s="74"/>
      <c r="AW141" s="74"/>
      <c r="AX141" s="74"/>
      <c r="AY141" s="74"/>
      <c r="AZ141" s="74"/>
      <c r="BA141" s="74"/>
      <c r="BB141" s="74"/>
      <c r="BC141" s="75"/>
      <c r="BD141" s="74"/>
      <c r="BE141" s="74"/>
      <c r="BF141" s="74"/>
      <c r="BG141" s="74"/>
      <c r="BH141" s="74"/>
      <c r="BI141" s="74"/>
      <c r="BJ141" s="74"/>
      <c r="BK141" s="74"/>
      <c r="BL141" s="74"/>
      <c r="BM141" s="74"/>
      <c r="BN141" s="74"/>
      <c r="BO141" s="74"/>
      <c r="BP141" s="75"/>
    </row>
    <row r="142" spans="1:68" s="17" customFormat="1" x14ac:dyDescent="0.25">
      <c r="A142" s="17" t="s">
        <v>158</v>
      </c>
      <c r="B142" s="76"/>
      <c r="C142" s="77" t="s">
        <v>159</v>
      </c>
      <c r="D142" s="17">
        <f t="shared" ref="D142:AI142" si="129">IF(D22=0,0,(D124/D22))</f>
        <v>0</v>
      </c>
      <c r="E142" s="17">
        <f t="shared" si="129"/>
        <v>0.46416697524171713</v>
      </c>
      <c r="F142" s="17">
        <f t="shared" si="129"/>
        <v>0.84872092013955303</v>
      </c>
      <c r="G142" s="17">
        <f t="shared" si="129"/>
        <v>0.79782847765996134</v>
      </c>
      <c r="H142" s="17">
        <f t="shared" si="129"/>
        <v>0.82463227348402057</v>
      </c>
      <c r="I142" s="17">
        <f t="shared" si="129"/>
        <v>0.77612049456276322</v>
      </c>
      <c r="J142" s="17">
        <f t="shared" si="129"/>
        <v>0.8168988643491466</v>
      </c>
      <c r="K142" s="17">
        <f t="shared" si="129"/>
        <v>0.76660106294239616</v>
      </c>
      <c r="L142" s="17">
        <f t="shared" si="129"/>
        <v>0.91290733189413931</v>
      </c>
      <c r="M142" s="17">
        <f t="shared" si="129"/>
        <v>0.78949293795173858</v>
      </c>
      <c r="N142" s="17">
        <f t="shared" si="129"/>
        <v>0.72594688428812648</v>
      </c>
      <c r="O142" s="17">
        <f t="shared" si="129"/>
        <v>0.79461133235413395</v>
      </c>
      <c r="P142" s="78">
        <f t="shared" si="129"/>
        <v>0.80408649233547458</v>
      </c>
      <c r="Q142" s="17">
        <f t="shared" si="129"/>
        <v>0.82322847367870011</v>
      </c>
      <c r="R142" s="17">
        <f t="shared" si="129"/>
        <v>0.79226204962819247</v>
      </c>
      <c r="S142" s="17">
        <f t="shared" si="129"/>
        <v>0.89150217163108281</v>
      </c>
      <c r="T142" s="17">
        <f t="shared" si="129"/>
        <v>0.79040876639172697</v>
      </c>
      <c r="U142" s="17">
        <f t="shared" si="129"/>
        <v>0.75903285933436393</v>
      </c>
      <c r="V142" s="17">
        <f t="shared" si="129"/>
        <v>0.93410546503053871</v>
      </c>
      <c r="W142" s="17">
        <f t="shared" si="129"/>
        <v>0.85214445430967523</v>
      </c>
      <c r="X142" s="17">
        <f t="shared" si="129"/>
        <v>0.73791099840756291</v>
      </c>
      <c r="Y142" s="17">
        <f t="shared" si="129"/>
        <v>0.91758294185621136</v>
      </c>
      <c r="Z142" s="17">
        <f t="shared" si="129"/>
        <v>0.82134225765634306</v>
      </c>
      <c r="AA142" s="17">
        <f t="shared" si="129"/>
        <v>0.83289746874757353</v>
      </c>
      <c r="AB142" s="17">
        <f t="shared" si="129"/>
        <v>0.80121298584785339</v>
      </c>
      <c r="AC142" s="78">
        <f t="shared" si="129"/>
        <v>0.81998626126155183</v>
      </c>
      <c r="AD142" s="17">
        <f t="shared" si="129"/>
        <v>0.23151021071176786</v>
      </c>
      <c r="AE142" s="17">
        <f t="shared" si="129"/>
        <v>1.5301992433335976</v>
      </c>
      <c r="AF142" s="17">
        <f t="shared" si="129"/>
        <v>0.84556179936335885</v>
      </c>
      <c r="AG142" s="17">
        <f t="shared" si="129"/>
        <v>0.79693821106554885</v>
      </c>
      <c r="AH142" s="17">
        <f t="shared" si="129"/>
        <v>0.28145036391830253</v>
      </c>
      <c r="AI142" s="17">
        <f t="shared" si="129"/>
        <v>0.93576259032997633</v>
      </c>
      <c r="AJ142" s="17">
        <f t="shared" ref="AJ142:BP142" si="130">IF(AJ22=0,0,(AJ124/AJ22))</f>
        <v>0.83390891799781641</v>
      </c>
      <c r="AK142" s="17">
        <f t="shared" si="130"/>
        <v>0.78213155611590623</v>
      </c>
      <c r="AL142" s="17">
        <f t="shared" si="130"/>
        <v>0.8387533429222267</v>
      </c>
      <c r="AM142" s="17">
        <f t="shared" si="130"/>
        <v>0.76521037960117566</v>
      </c>
      <c r="AN142" s="17">
        <f t="shared" si="130"/>
        <v>0.88205962719417419</v>
      </c>
      <c r="AO142" s="17">
        <f t="shared" si="130"/>
        <v>0.4460826674282562</v>
      </c>
      <c r="AP142" s="78">
        <f t="shared" si="130"/>
        <v>0.81884696774232713</v>
      </c>
      <c r="AQ142" s="79">
        <f t="shared" si="130"/>
        <v>0</v>
      </c>
      <c r="AR142" s="17">
        <f t="shared" si="130"/>
        <v>0</v>
      </c>
      <c r="AS142" s="17">
        <f t="shared" si="130"/>
        <v>0</v>
      </c>
      <c r="AT142" s="17">
        <f t="shared" si="130"/>
        <v>0</v>
      </c>
      <c r="AU142" s="17">
        <f t="shared" si="130"/>
        <v>0</v>
      </c>
      <c r="AV142" s="17">
        <f t="shared" si="130"/>
        <v>0</v>
      </c>
      <c r="AW142" s="17">
        <f t="shared" si="130"/>
        <v>0</v>
      </c>
      <c r="AX142" s="17">
        <f t="shared" si="130"/>
        <v>0</v>
      </c>
      <c r="AY142" s="17">
        <f t="shared" si="130"/>
        <v>0</v>
      </c>
      <c r="AZ142" s="17">
        <f t="shared" si="130"/>
        <v>0</v>
      </c>
      <c r="BA142" s="17">
        <f t="shared" si="130"/>
        <v>0</v>
      </c>
      <c r="BB142" s="17">
        <f t="shared" si="130"/>
        <v>0</v>
      </c>
      <c r="BC142" s="78">
        <f t="shared" si="130"/>
        <v>0</v>
      </c>
      <c r="BD142" s="17">
        <f t="shared" si="130"/>
        <v>0</v>
      </c>
      <c r="BE142" s="17">
        <f t="shared" si="130"/>
        <v>0</v>
      </c>
      <c r="BF142" s="17">
        <f t="shared" si="130"/>
        <v>0</v>
      </c>
      <c r="BG142" s="17">
        <f t="shared" si="130"/>
        <v>0</v>
      </c>
      <c r="BH142" s="17">
        <f t="shared" si="130"/>
        <v>0</v>
      </c>
      <c r="BI142" s="17">
        <f t="shared" si="130"/>
        <v>0</v>
      </c>
      <c r="BJ142" s="17">
        <f t="shared" si="130"/>
        <v>0</v>
      </c>
      <c r="BK142" s="17">
        <f t="shared" si="130"/>
        <v>0</v>
      </c>
      <c r="BL142" s="17">
        <f t="shared" si="130"/>
        <v>0</v>
      </c>
      <c r="BM142" s="17">
        <f t="shared" si="130"/>
        <v>0</v>
      </c>
      <c r="BN142" s="17">
        <f t="shared" si="130"/>
        <v>0</v>
      </c>
      <c r="BO142" s="17">
        <f t="shared" si="130"/>
        <v>0</v>
      </c>
      <c r="BP142" s="78">
        <f t="shared" si="130"/>
        <v>0</v>
      </c>
    </row>
    <row r="143" spans="1:68" s="17" customFormat="1" x14ac:dyDescent="0.25">
      <c r="A143" s="17" t="s">
        <v>160</v>
      </c>
      <c r="B143" s="76"/>
      <c r="C143" s="77" t="s">
        <v>161</v>
      </c>
      <c r="D143" s="17">
        <f t="shared" ref="D143:AI143" si="131">IF(D22=0,0,(D125/D22))</f>
        <v>0</v>
      </c>
      <c r="E143" s="17">
        <f t="shared" si="131"/>
        <v>0.14501697440773054</v>
      </c>
      <c r="F143" s="17">
        <f t="shared" si="131"/>
        <v>0.70882272381176792</v>
      </c>
      <c r="G143" s="17">
        <f t="shared" si="131"/>
        <v>0.59900711974341925</v>
      </c>
      <c r="H143" s="17">
        <f t="shared" si="131"/>
        <v>0.35786789504325528</v>
      </c>
      <c r="I143" s="17">
        <f t="shared" si="131"/>
        <v>0.65241431295626873</v>
      </c>
      <c r="J143" s="17">
        <f t="shared" si="131"/>
        <v>0.50061989534845341</v>
      </c>
      <c r="K143" s="17">
        <f t="shared" si="131"/>
        <v>0.65236653240862108</v>
      </c>
      <c r="L143" s="17">
        <f t="shared" si="131"/>
        <v>0.68888819545458213</v>
      </c>
      <c r="M143" s="17">
        <f t="shared" si="131"/>
        <v>0.67841768597838514</v>
      </c>
      <c r="N143" s="17">
        <f t="shared" si="131"/>
        <v>0.62060134723759319</v>
      </c>
      <c r="O143" s="17">
        <f t="shared" si="131"/>
        <v>0.8283771560052996</v>
      </c>
      <c r="P143" s="78">
        <f t="shared" si="131"/>
        <v>0.66861320654735323</v>
      </c>
      <c r="Q143" s="17">
        <f t="shared" si="131"/>
        <v>0.52443181994724597</v>
      </c>
      <c r="R143" s="17">
        <f t="shared" si="131"/>
        <v>0.72413358208134793</v>
      </c>
      <c r="S143" s="17">
        <f t="shared" si="131"/>
        <v>0.7151715058889242</v>
      </c>
      <c r="T143" s="17">
        <f t="shared" si="131"/>
        <v>0.69295111050767688</v>
      </c>
      <c r="U143" s="17">
        <f t="shared" si="131"/>
        <v>0.65233927180335338</v>
      </c>
      <c r="V143" s="17">
        <f t="shared" si="131"/>
        <v>0.83598301264759267</v>
      </c>
      <c r="W143" s="17">
        <f t="shared" si="131"/>
        <v>0.7127201310922604</v>
      </c>
      <c r="X143" s="17">
        <f t="shared" si="131"/>
        <v>0.61368530503647745</v>
      </c>
      <c r="Y143" s="17">
        <f t="shared" si="131"/>
        <v>0.63986452278503314</v>
      </c>
      <c r="Z143" s="17">
        <f t="shared" si="131"/>
        <v>0.742338501592538</v>
      </c>
      <c r="AA143" s="17">
        <f t="shared" si="131"/>
        <v>0.56581830887491258</v>
      </c>
      <c r="AB143" s="17">
        <f t="shared" si="131"/>
        <v>0.6793708971300555</v>
      </c>
      <c r="AC143" s="78">
        <f t="shared" si="131"/>
        <v>0.69626074349453948</v>
      </c>
      <c r="AD143" s="17">
        <f t="shared" si="131"/>
        <v>-9.3841451707420226E-2</v>
      </c>
      <c r="AE143" s="17">
        <f t="shared" si="131"/>
        <v>1.4002812990746285</v>
      </c>
      <c r="AF143" s="17">
        <f t="shared" si="131"/>
        <v>0.69573042544617625</v>
      </c>
      <c r="AG143" s="17">
        <f t="shared" si="131"/>
        <v>0.71057708204048686</v>
      </c>
      <c r="AH143" s="17">
        <f t="shared" si="131"/>
        <v>-0.63159938312702579</v>
      </c>
      <c r="AI143" s="17">
        <f t="shared" si="131"/>
        <v>0.86026575394767113</v>
      </c>
      <c r="AJ143" s="17">
        <f t="shared" ref="AJ143:BP143" si="132">IF(AJ22=0,0,(AJ125/AJ22))</f>
        <v>0.56915449882468194</v>
      </c>
      <c r="AK143" s="17">
        <f t="shared" si="132"/>
        <v>0.63981101557313369</v>
      </c>
      <c r="AL143" s="17">
        <f t="shared" si="132"/>
        <v>0.61407960616717239</v>
      </c>
      <c r="AM143" s="17">
        <f t="shared" si="132"/>
        <v>0.64348727006201067</v>
      </c>
      <c r="AN143" s="17">
        <f t="shared" si="132"/>
        <v>0.77841924533086959</v>
      </c>
      <c r="AO143" s="17">
        <f t="shared" si="132"/>
        <v>0.24860174116449366</v>
      </c>
      <c r="AP143" s="78">
        <f t="shared" si="132"/>
        <v>0.65753300918090374</v>
      </c>
      <c r="AQ143" s="79">
        <f t="shared" si="132"/>
        <v>0</v>
      </c>
      <c r="AR143" s="17">
        <f t="shared" si="132"/>
        <v>0</v>
      </c>
      <c r="AS143" s="17">
        <f t="shared" si="132"/>
        <v>0</v>
      </c>
      <c r="AT143" s="17">
        <f t="shared" si="132"/>
        <v>0</v>
      </c>
      <c r="AU143" s="17">
        <f t="shared" si="132"/>
        <v>0</v>
      </c>
      <c r="AV143" s="17">
        <f t="shared" si="132"/>
        <v>0</v>
      </c>
      <c r="AW143" s="17">
        <f t="shared" si="132"/>
        <v>0</v>
      </c>
      <c r="AX143" s="17">
        <f t="shared" si="132"/>
        <v>0</v>
      </c>
      <c r="AY143" s="17">
        <f t="shared" si="132"/>
        <v>0</v>
      </c>
      <c r="AZ143" s="17">
        <f t="shared" si="132"/>
        <v>0</v>
      </c>
      <c r="BA143" s="17">
        <f t="shared" si="132"/>
        <v>0</v>
      </c>
      <c r="BB143" s="17">
        <f t="shared" si="132"/>
        <v>0</v>
      </c>
      <c r="BC143" s="78">
        <f t="shared" si="132"/>
        <v>0</v>
      </c>
      <c r="BD143" s="17">
        <f t="shared" si="132"/>
        <v>0</v>
      </c>
      <c r="BE143" s="17">
        <f t="shared" si="132"/>
        <v>0</v>
      </c>
      <c r="BF143" s="17">
        <f t="shared" si="132"/>
        <v>0</v>
      </c>
      <c r="BG143" s="17">
        <f t="shared" si="132"/>
        <v>0</v>
      </c>
      <c r="BH143" s="17">
        <f t="shared" si="132"/>
        <v>0</v>
      </c>
      <c r="BI143" s="17">
        <f t="shared" si="132"/>
        <v>0</v>
      </c>
      <c r="BJ143" s="17">
        <f t="shared" si="132"/>
        <v>0</v>
      </c>
      <c r="BK143" s="17">
        <f t="shared" si="132"/>
        <v>0</v>
      </c>
      <c r="BL143" s="17">
        <f t="shared" si="132"/>
        <v>0</v>
      </c>
      <c r="BM143" s="17">
        <f t="shared" si="132"/>
        <v>0</v>
      </c>
      <c r="BN143" s="17">
        <f t="shared" si="132"/>
        <v>0</v>
      </c>
      <c r="BO143" s="17">
        <f t="shared" si="132"/>
        <v>0</v>
      </c>
      <c r="BP143" s="78">
        <f t="shared" si="132"/>
        <v>0</v>
      </c>
    </row>
    <row r="144" spans="1:68" s="18" customFormat="1" x14ac:dyDescent="0.25">
      <c r="A144" s="18" t="s">
        <v>162</v>
      </c>
      <c r="B144" s="80"/>
      <c r="C144" s="81" t="s">
        <v>163</v>
      </c>
      <c r="D144" s="18">
        <f t="shared" ref="D144:AI144" si="133">IF(D22=0,0,(ABS(D42)/D22))</f>
        <v>0</v>
      </c>
      <c r="E144" s="18">
        <f t="shared" si="133"/>
        <v>0.28328857605124008</v>
      </c>
      <c r="F144" s="18">
        <f t="shared" si="133"/>
        <v>0.12790482412321702</v>
      </c>
      <c r="G144" s="18">
        <f t="shared" si="133"/>
        <v>0.14726756035181313</v>
      </c>
      <c r="H144" s="18">
        <f t="shared" si="133"/>
        <v>0.41907115936552036</v>
      </c>
      <c r="I144" s="18">
        <f t="shared" si="133"/>
        <v>0.11545219704606402</v>
      </c>
      <c r="J144" s="18">
        <f t="shared" si="133"/>
        <v>0.27394688191211908</v>
      </c>
      <c r="K144" s="18">
        <f t="shared" si="133"/>
        <v>0.10241743924624833</v>
      </c>
      <c r="L144" s="18">
        <f t="shared" si="133"/>
        <v>0.20640184615881163</v>
      </c>
      <c r="M144" s="18">
        <f t="shared" si="133"/>
        <v>8.7263526286949847E-2</v>
      </c>
      <c r="N144" s="18">
        <f t="shared" si="133"/>
        <v>9.9715676483026067E-2</v>
      </c>
      <c r="O144" s="18">
        <f t="shared" si="133"/>
        <v>8.3270143779314715E-2</v>
      </c>
      <c r="P144" s="82">
        <f t="shared" si="133"/>
        <v>0.1351320068250158</v>
      </c>
      <c r="Q144" s="18">
        <f t="shared" si="133"/>
        <v>0.21640306527385164</v>
      </c>
      <c r="R144" s="18">
        <f t="shared" si="133"/>
        <v>6.5093206416398625E-2</v>
      </c>
      <c r="S144" s="18">
        <f t="shared" si="133"/>
        <v>0.16657999402921828</v>
      </c>
      <c r="T144" s="18">
        <f t="shared" si="133"/>
        <v>7.3617098310761117E-2</v>
      </c>
      <c r="U144" s="18">
        <f t="shared" si="133"/>
        <v>9.8297858315655753E-2</v>
      </c>
      <c r="V144" s="18">
        <f t="shared" si="133"/>
        <v>8.8300314343748687E-2</v>
      </c>
      <c r="W144" s="18">
        <f t="shared" si="133"/>
        <v>0.11377899406249772</v>
      </c>
      <c r="X144" s="18">
        <f t="shared" si="133"/>
        <v>0.11154038628196934</v>
      </c>
      <c r="Y144" s="18">
        <f t="shared" si="133"/>
        <v>0.2548617684120062</v>
      </c>
      <c r="Z144" s="18">
        <f t="shared" si="133"/>
        <v>6.0844239076927056E-2</v>
      </c>
      <c r="AA144" s="18">
        <f t="shared" si="133"/>
        <v>0.24619535678235885</v>
      </c>
      <c r="AB144" s="18">
        <f t="shared" si="133"/>
        <v>7.8906450802697703E-2</v>
      </c>
      <c r="AC144" s="82">
        <f t="shared" si="133"/>
        <v>0.10367562324898909</v>
      </c>
      <c r="AD144" s="18">
        <f t="shared" si="133"/>
        <v>0.23291009653274475</v>
      </c>
      <c r="AE144" s="18">
        <f t="shared" si="133"/>
        <v>0.11740086640217065</v>
      </c>
      <c r="AF144" s="18">
        <f t="shared" si="133"/>
        <v>0.14053706122735987</v>
      </c>
      <c r="AG144" s="18">
        <f t="shared" si="133"/>
        <v>7.0995015189678323E-2</v>
      </c>
      <c r="AH144" s="18">
        <f t="shared" si="133"/>
        <v>0.38032961145766631</v>
      </c>
      <c r="AI144" s="18">
        <f t="shared" si="133"/>
        <v>7.2637308315639998E-2</v>
      </c>
      <c r="AJ144" s="18">
        <f t="shared" ref="AJ144:BP144" si="134">IF(AJ22=0,0,(ABS(AJ42)/AJ22))</f>
        <v>0.21568479349725989</v>
      </c>
      <c r="AK144" s="18">
        <f t="shared" si="134"/>
        <v>0.12768474027418958</v>
      </c>
      <c r="AL144" s="18">
        <f t="shared" si="134"/>
        <v>0.20876871420892013</v>
      </c>
      <c r="AM144" s="18">
        <f t="shared" si="134"/>
        <v>9.7223275307116719E-2</v>
      </c>
      <c r="AN144" s="18">
        <f t="shared" si="134"/>
        <v>9.6364328025650786E-2</v>
      </c>
      <c r="AO144" s="18">
        <f t="shared" si="134"/>
        <v>0.10762502598535495</v>
      </c>
      <c r="AP144" s="82">
        <f t="shared" si="134"/>
        <v>0.12241635003225872</v>
      </c>
      <c r="AQ144" s="83">
        <f t="shared" si="134"/>
        <v>0</v>
      </c>
      <c r="AR144" s="18">
        <f t="shared" si="134"/>
        <v>0</v>
      </c>
      <c r="AS144" s="18">
        <f t="shared" si="134"/>
        <v>0</v>
      </c>
      <c r="AT144" s="18">
        <f t="shared" si="134"/>
        <v>0</v>
      </c>
      <c r="AU144" s="18">
        <f t="shared" si="134"/>
        <v>0</v>
      </c>
      <c r="AV144" s="18">
        <f t="shared" si="134"/>
        <v>0</v>
      </c>
      <c r="AW144" s="18">
        <f t="shared" si="134"/>
        <v>0</v>
      </c>
      <c r="AX144" s="18">
        <f t="shared" si="134"/>
        <v>0</v>
      </c>
      <c r="AY144" s="18">
        <f t="shared" si="134"/>
        <v>0</v>
      </c>
      <c r="AZ144" s="18">
        <f t="shared" si="134"/>
        <v>0</v>
      </c>
      <c r="BA144" s="18">
        <f t="shared" si="134"/>
        <v>0</v>
      </c>
      <c r="BB144" s="18">
        <f t="shared" si="134"/>
        <v>0</v>
      </c>
      <c r="BC144" s="82">
        <f t="shared" si="134"/>
        <v>0</v>
      </c>
      <c r="BD144" s="18">
        <f t="shared" si="134"/>
        <v>0</v>
      </c>
      <c r="BE144" s="18">
        <f t="shared" si="134"/>
        <v>0</v>
      </c>
      <c r="BF144" s="18">
        <f t="shared" si="134"/>
        <v>0</v>
      </c>
      <c r="BG144" s="18">
        <f t="shared" si="134"/>
        <v>0</v>
      </c>
      <c r="BH144" s="18">
        <f t="shared" si="134"/>
        <v>0</v>
      </c>
      <c r="BI144" s="18">
        <f t="shared" si="134"/>
        <v>0</v>
      </c>
      <c r="BJ144" s="18">
        <f t="shared" si="134"/>
        <v>0</v>
      </c>
      <c r="BK144" s="18">
        <f t="shared" si="134"/>
        <v>0</v>
      </c>
      <c r="BL144" s="18">
        <f t="shared" si="134"/>
        <v>0</v>
      </c>
      <c r="BM144" s="18">
        <f t="shared" si="134"/>
        <v>0</v>
      </c>
      <c r="BN144" s="18">
        <f t="shared" si="134"/>
        <v>0</v>
      </c>
      <c r="BO144" s="18">
        <f t="shared" si="134"/>
        <v>0</v>
      </c>
      <c r="BP144" s="82">
        <f t="shared" si="134"/>
        <v>0</v>
      </c>
    </row>
    <row r="145" spans="1:68" s="18" customFormat="1" x14ac:dyDescent="0.25">
      <c r="A145" s="18" t="s">
        <v>164</v>
      </c>
      <c r="B145" s="80"/>
      <c r="C145" s="81" t="s">
        <v>165</v>
      </c>
      <c r="D145" s="18">
        <f t="shared" ref="D145:AI145" si="135">IF(D22=0,0,(ABS(D53)/D22))</f>
        <v>0</v>
      </c>
      <c r="E145" s="18">
        <f t="shared" si="135"/>
        <v>3.5861424782746482E-2</v>
      </c>
      <c r="F145" s="18">
        <f t="shared" si="135"/>
        <v>1.199337220456816E-2</v>
      </c>
      <c r="G145" s="18">
        <f t="shared" si="135"/>
        <v>4.1999499593643769E-2</v>
      </c>
      <c r="H145" s="18">
        <f t="shared" si="135"/>
        <v>4.7693219075244868E-2</v>
      </c>
      <c r="I145" s="18">
        <f t="shared" si="135"/>
        <v>8.2539845604302706E-3</v>
      </c>
      <c r="J145" s="18">
        <f t="shared" si="135"/>
        <v>4.2332087088574159E-2</v>
      </c>
      <c r="K145" s="18">
        <f t="shared" si="135"/>
        <v>5.6602874234371646E-3</v>
      </c>
      <c r="L145" s="18">
        <f t="shared" si="135"/>
        <v>1.7617290280745539E-2</v>
      </c>
      <c r="M145" s="18">
        <f t="shared" si="135"/>
        <v>2.3811725686403662E-2</v>
      </c>
      <c r="N145" s="18">
        <f t="shared" si="135"/>
        <v>5.629860567507341E-3</v>
      </c>
      <c r="O145" s="18">
        <f t="shared" si="135"/>
        <v>4.217942522654331E-3</v>
      </c>
      <c r="P145" s="82">
        <f t="shared" si="135"/>
        <v>1.6747837811351904E-2</v>
      </c>
      <c r="Q145" s="18">
        <f t="shared" si="135"/>
        <v>8.2393588457602571E-2</v>
      </c>
      <c r="R145" s="18">
        <f t="shared" si="135"/>
        <v>3.0352611304459635E-3</v>
      </c>
      <c r="S145" s="18">
        <f t="shared" si="135"/>
        <v>9.7506717129402232E-3</v>
      </c>
      <c r="T145" s="18">
        <f t="shared" si="135"/>
        <v>2.2369686478168883E-2</v>
      </c>
      <c r="U145" s="18">
        <f t="shared" si="135"/>
        <v>8.3957292153549311E-3</v>
      </c>
      <c r="V145" s="18">
        <f t="shared" si="135"/>
        <v>9.8221380391973964E-3</v>
      </c>
      <c r="W145" s="18">
        <f t="shared" si="135"/>
        <v>2.5645329154917008E-2</v>
      </c>
      <c r="X145" s="18">
        <f t="shared" si="135"/>
        <v>6.5684438001895815E-3</v>
      </c>
      <c r="Y145" s="18">
        <f t="shared" si="135"/>
        <v>2.2856650659171987E-2</v>
      </c>
      <c r="Z145" s="18">
        <f t="shared" si="135"/>
        <v>1.8159516986877865E-2</v>
      </c>
      <c r="AA145" s="18">
        <f t="shared" si="135"/>
        <v>2.0883803090302043E-2</v>
      </c>
      <c r="AB145" s="18">
        <f t="shared" si="135"/>
        <v>5.0493352631566946E-3</v>
      </c>
      <c r="AC145" s="82">
        <f t="shared" si="135"/>
        <v>1.5538145629529383E-2</v>
      </c>
      <c r="AD145" s="18">
        <f t="shared" si="135"/>
        <v>9.2441565886443339E-2</v>
      </c>
      <c r="AE145" s="18">
        <f t="shared" si="135"/>
        <v>1.2517077856798467E-2</v>
      </c>
      <c r="AF145" s="18">
        <f t="shared" si="135"/>
        <v>9.2943126898226633E-3</v>
      </c>
      <c r="AG145" s="18">
        <f t="shared" si="135"/>
        <v>1.3921167800315557E-2</v>
      </c>
      <c r="AH145" s="18">
        <f t="shared" si="135"/>
        <v>2.3842338350020285E-2</v>
      </c>
      <c r="AI145" s="18">
        <f t="shared" si="135"/>
        <v>2.859528066665131E-3</v>
      </c>
      <c r="AJ145" s="18">
        <f t="shared" ref="AJ145:BP145" si="136">IF(AJ22=0,0,(ABS(AJ53)/AJ22))</f>
        <v>4.906962567587466E-2</v>
      </c>
      <c r="AK145" s="18">
        <f t="shared" si="136"/>
        <v>5.5056301950782418E-3</v>
      </c>
      <c r="AL145" s="18">
        <f t="shared" si="136"/>
        <v>1.5905022546134125E-2</v>
      </c>
      <c r="AM145" s="18">
        <f t="shared" si="136"/>
        <v>2.4499834232048368E-2</v>
      </c>
      <c r="AN145" s="18">
        <f t="shared" si="136"/>
        <v>7.2760538376537504E-3</v>
      </c>
      <c r="AO145" s="18">
        <f t="shared" si="136"/>
        <v>2.039971790104388E-3</v>
      </c>
      <c r="AP145" s="82">
        <f t="shared" si="136"/>
        <v>1.5689926239906758E-2</v>
      </c>
      <c r="AQ145" s="83">
        <f t="shared" si="136"/>
        <v>0</v>
      </c>
      <c r="AR145" s="18">
        <f t="shared" si="136"/>
        <v>0</v>
      </c>
      <c r="AS145" s="18">
        <f t="shared" si="136"/>
        <v>0</v>
      </c>
      <c r="AT145" s="18">
        <f t="shared" si="136"/>
        <v>0</v>
      </c>
      <c r="AU145" s="18">
        <f t="shared" si="136"/>
        <v>0</v>
      </c>
      <c r="AV145" s="18">
        <f t="shared" si="136"/>
        <v>0</v>
      </c>
      <c r="AW145" s="18">
        <f t="shared" si="136"/>
        <v>0</v>
      </c>
      <c r="AX145" s="18">
        <f t="shared" si="136"/>
        <v>0</v>
      </c>
      <c r="AY145" s="18">
        <f t="shared" si="136"/>
        <v>0</v>
      </c>
      <c r="AZ145" s="18">
        <f t="shared" si="136"/>
        <v>0</v>
      </c>
      <c r="BA145" s="18">
        <f t="shared" si="136"/>
        <v>0</v>
      </c>
      <c r="BB145" s="18">
        <f t="shared" si="136"/>
        <v>0</v>
      </c>
      <c r="BC145" s="82">
        <f t="shared" si="136"/>
        <v>0</v>
      </c>
      <c r="BD145" s="18">
        <f t="shared" si="136"/>
        <v>0</v>
      </c>
      <c r="BE145" s="18">
        <f t="shared" si="136"/>
        <v>0</v>
      </c>
      <c r="BF145" s="18">
        <f t="shared" si="136"/>
        <v>0</v>
      </c>
      <c r="BG145" s="18">
        <f t="shared" si="136"/>
        <v>0</v>
      </c>
      <c r="BH145" s="18">
        <f t="shared" si="136"/>
        <v>0</v>
      </c>
      <c r="BI145" s="18">
        <f t="shared" si="136"/>
        <v>0</v>
      </c>
      <c r="BJ145" s="18">
        <f t="shared" si="136"/>
        <v>0</v>
      </c>
      <c r="BK145" s="18">
        <f t="shared" si="136"/>
        <v>0</v>
      </c>
      <c r="BL145" s="18">
        <f t="shared" si="136"/>
        <v>0</v>
      </c>
      <c r="BM145" s="18">
        <f t="shared" si="136"/>
        <v>0</v>
      </c>
      <c r="BN145" s="18">
        <f t="shared" si="136"/>
        <v>0</v>
      </c>
      <c r="BO145" s="18">
        <f t="shared" si="136"/>
        <v>0</v>
      </c>
      <c r="BP145" s="82">
        <f t="shared" si="136"/>
        <v>0</v>
      </c>
    </row>
    <row r="146" spans="1:68" s="18" customFormat="1" x14ac:dyDescent="0.25">
      <c r="A146" s="18" t="s">
        <v>166</v>
      </c>
      <c r="B146" s="80"/>
      <c r="C146" s="81" t="s">
        <v>167</v>
      </c>
      <c r="D146" s="18">
        <f t="shared" ref="D146:AI146" si="137">IF(D22=0,0,(ABS(D35)/D22))</f>
        <v>0</v>
      </c>
      <c r="E146" s="18">
        <f t="shared" si="137"/>
        <v>0.5494548062649075</v>
      </c>
      <c r="F146" s="18">
        <f t="shared" si="137"/>
        <v>0.15697410845288712</v>
      </c>
      <c r="G146" s="18">
        <f t="shared" si="137"/>
        <v>0.20451053391208496</v>
      </c>
      <c r="H146" s="18">
        <f t="shared" si="137"/>
        <v>0.18019033027941481</v>
      </c>
      <c r="I146" s="18">
        <f t="shared" si="137"/>
        <v>0.22726833475658173</v>
      </c>
      <c r="J146" s="18">
        <f t="shared" si="137"/>
        <v>0.1872277739262487</v>
      </c>
      <c r="K146" s="18">
        <f t="shared" si="137"/>
        <v>0.2378675850234753</v>
      </c>
      <c r="L146" s="18">
        <f t="shared" si="137"/>
        <v>9.161637336302679E-2</v>
      </c>
      <c r="M146" s="18">
        <f t="shared" si="137"/>
        <v>0.2127875773881085</v>
      </c>
      <c r="N146" s="18">
        <f t="shared" si="137"/>
        <v>0.27702119229927152</v>
      </c>
      <c r="O146" s="18">
        <f t="shared" si="137"/>
        <v>0.20870476630688414</v>
      </c>
      <c r="P146" s="82">
        <f t="shared" si="137"/>
        <v>0.22339167635259377</v>
      </c>
      <c r="Q146" s="18">
        <f t="shared" si="137"/>
        <v>0.18458162524359067</v>
      </c>
      <c r="R146" s="18">
        <f t="shared" si="137"/>
        <v>0.20847477793599373</v>
      </c>
      <c r="S146" s="18">
        <f t="shared" si="137"/>
        <v>0.11592097863037971</v>
      </c>
      <c r="T146" s="18">
        <f t="shared" si="137"/>
        <v>0.21131186992973763</v>
      </c>
      <c r="U146" s="18">
        <f t="shared" si="137"/>
        <v>0.24283976617648823</v>
      </c>
      <c r="V146" s="18">
        <f t="shared" si="137"/>
        <v>6.8220403124570506E-2</v>
      </c>
      <c r="W146" s="18">
        <f t="shared" si="137"/>
        <v>0.15244650802863224</v>
      </c>
      <c r="X146" s="18">
        <f t="shared" si="137"/>
        <v>0.26602308890101312</v>
      </c>
      <c r="Y146" s="18">
        <f t="shared" si="137"/>
        <v>9.0401449384766366E-2</v>
      </c>
      <c r="Z146" s="18">
        <f t="shared" si="137"/>
        <v>0.18000884443175583</v>
      </c>
      <c r="AA146" s="18">
        <f t="shared" si="137"/>
        <v>0.17381597950151406</v>
      </c>
      <c r="AB146" s="18">
        <f t="shared" si="137"/>
        <v>0.19987278411550793</v>
      </c>
      <c r="AC146" s="82">
        <f t="shared" si="137"/>
        <v>0.18288865556134737</v>
      </c>
      <c r="AD146" s="18">
        <f t="shared" si="137"/>
        <v>0.7721097081918491</v>
      </c>
      <c r="AE146" s="18">
        <f t="shared" si="137"/>
        <v>2.1251702317119963E-2</v>
      </c>
      <c r="AF146" s="18">
        <f t="shared" si="137"/>
        <v>0.16083868961171374</v>
      </c>
      <c r="AG146" s="18">
        <f t="shared" si="137"/>
        <v>0.20549107276849635</v>
      </c>
      <c r="AH146" s="18">
        <f t="shared" si="137"/>
        <v>0.72620683338068726</v>
      </c>
      <c r="AI146" s="18">
        <f t="shared" si="137"/>
        <v>6.6157000270331306E-2</v>
      </c>
      <c r="AJ146" s="18">
        <f t="shared" ref="AJ146:BP146" si="138">IF(AJ22=0,0,(ABS(AJ35)/AJ22))</f>
        <v>0.16850733152820341</v>
      </c>
      <c r="AK146" s="18">
        <f t="shared" si="138"/>
        <v>0.22295335217176465</v>
      </c>
      <c r="AL146" s="18">
        <f t="shared" si="138"/>
        <v>0.16857443741717726</v>
      </c>
      <c r="AM146" s="18">
        <f t="shared" si="138"/>
        <v>0.23770096650892691</v>
      </c>
      <c r="AN146" s="18">
        <f t="shared" si="138"/>
        <v>0.12071812039200769</v>
      </c>
      <c r="AO146" s="18">
        <f t="shared" si="138"/>
        <v>0.55631361943451973</v>
      </c>
      <c r="AP146" s="82">
        <f t="shared" si="138"/>
        <v>0.23023595219467888</v>
      </c>
      <c r="AQ146" s="83">
        <f t="shared" si="138"/>
        <v>0</v>
      </c>
      <c r="AR146" s="18">
        <f t="shared" si="138"/>
        <v>0</v>
      </c>
      <c r="AS146" s="18">
        <f t="shared" si="138"/>
        <v>0</v>
      </c>
      <c r="AT146" s="18">
        <f t="shared" si="138"/>
        <v>0</v>
      </c>
      <c r="AU146" s="18">
        <f t="shared" si="138"/>
        <v>0</v>
      </c>
      <c r="AV146" s="18">
        <f t="shared" si="138"/>
        <v>0</v>
      </c>
      <c r="AW146" s="18">
        <f t="shared" si="138"/>
        <v>0</v>
      </c>
      <c r="AX146" s="18">
        <f t="shared" si="138"/>
        <v>0</v>
      </c>
      <c r="AY146" s="18">
        <f t="shared" si="138"/>
        <v>0</v>
      </c>
      <c r="AZ146" s="18">
        <f t="shared" si="138"/>
        <v>0</v>
      </c>
      <c r="BA146" s="18">
        <f t="shared" si="138"/>
        <v>0</v>
      </c>
      <c r="BB146" s="18">
        <f t="shared" si="138"/>
        <v>0</v>
      </c>
      <c r="BC146" s="82">
        <f t="shared" si="138"/>
        <v>0</v>
      </c>
      <c r="BD146" s="18">
        <f t="shared" si="138"/>
        <v>0</v>
      </c>
      <c r="BE146" s="18">
        <f t="shared" si="138"/>
        <v>0</v>
      </c>
      <c r="BF146" s="18">
        <f t="shared" si="138"/>
        <v>0</v>
      </c>
      <c r="BG146" s="18">
        <f t="shared" si="138"/>
        <v>0</v>
      </c>
      <c r="BH146" s="18">
        <f t="shared" si="138"/>
        <v>0</v>
      </c>
      <c r="BI146" s="18">
        <f t="shared" si="138"/>
        <v>0</v>
      </c>
      <c r="BJ146" s="18">
        <f t="shared" si="138"/>
        <v>0</v>
      </c>
      <c r="BK146" s="18">
        <f t="shared" si="138"/>
        <v>0</v>
      </c>
      <c r="BL146" s="18">
        <f t="shared" si="138"/>
        <v>0</v>
      </c>
      <c r="BM146" s="18">
        <f t="shared" si="138"/>
        <v>0</v>
      </c>
      <c r="BN146" s="18">
        <f t="shared" si="138"/>
        <v>0</v>
      </c>
      <c r="BO146" s="18">
        <f t="shared" si="138"/>
        <v>0</v>
      </c>
      <c r="BP146" s="82">
        <f t="shared" si="138"/>
        <v>0</v>
      </c>
    </row>
    <row r="147" spans="1:68" s="18" customFormat="1" x14ac:dyDescent="0.25">
      <c r="A147" s="18" t="s">
        <v>168</v>
      </c>
      <c r="B147" s="80"/>
      <c r="C147" s="81" t="s">
        <v>169</v>
      </c>
      <c r="D147" s="18">
        <f t="shared" ref="D147:AI147" si="139">IF(D22=0,0,(ABS(D87)/D22))</f>
        <v>0</v>
      </c>
      <c r="E147" s="18">
        <f t="shared" si="139"/>
        <v>0</v>
      </c>
      <c r="F147" s="18">
        <f t="shared" si="139"/>
        <v>0</v>
      </c>
      <c r="G147" s="18">
        <f t="shared" si="139"/>
        <v>0</v>
      </c>
      <c r="H147" s="18">
        <f t="shared" si="139"/>
        <v>0</v>
      </c>
      <c r="I147" s="18">
        <f t="shared" si="139"/>
        <v>0</v>
      </c>
      <c r="J147" s="18">
        <f t="shared" si="139"/>
        <v>0</v>
      </c>
      <c r="K147" s="18">
        <f t="shared" si="139"/>
        <v>0</v>
      </c>
      <c r="L147" s="18">
        <f t="shared" si="139"/>
        <v>0</v>
      </c>
      <c r="M147" s="18">
        <f t="shared" si="139"/>
        <v>0</v>
      </c>
      <c r="N147" s="18">
        <f t="shared" si="139"/>
        <v>0</v>
      </c>
      <c r="O147" s="18">
        <f t="shared" si="139"/>
        <v>0</v>
      </c>
      <c r="P147" s="82">
        <f t="shared" si="139"/>
        <v>0</v>
      </c>
      <c r="Q147" s="18">
        <f t="shared" si="139"/>
        <v>0</v>
      </c>
      <c r="R147" s="18">
        <f t="shared" si="139"/>
        <v>0</v>
      </c>
      <c r="S147" s="18">
        <f t="shared" si="139"/>
        <v>0</v>
      </c>
      <c r="T147" s="18">
        <f t="shared" si="139"/>
        <v>0</v>
      </c>
      <c r="U147" s="18">
        <f t="shared" si="139"/>
        <v>0</v>
      </c>
      <c r="V147" s="18">
        <f t="shared" si="139"/>
        <v>0</v>
      </c>
      <c r="W147" s="18">
        <f t="shared" si="139"/>
        <v>0</v>
      </c>
      <c r="X147" s="18">
        <f t="shared" si="139"/>
        <v>0</v>
      </c>
      <c r="Y147" s="18">
        <f t="shared" si="139"/>
        <v>0</v>
      </c>
      <c r="Z147" s="18">
        <f t="shared" si="139"/>
        <v>0</v>
      </c>
      <c r="AA147" s="18">
        <f t="shared" si="139"/>
        <v>0</v>
      </c>
      <c r="AB147" s="18">
        <f t="shared" si="139"/>
        <v>0</v>
      </c>
      <c r="AC147" s="82">
        <f t="shared" si="139"/>
        <v>0</v>
      </c>
      <c r="AD147" s="18">
        <f t="shared" si="139"/>
        <v>0</v>
      </c>
      <c r="AE147" s="18">
        <f t="shared" si="139"/>
        <v>0</v>
      </c>
      <c r="AF147" s="18">
        <f t="shared" si="139"/>
        <v>0</v>
      </c>
      <c r="AG147" s="18">
        <f t="shared" si="139"/>
        <v>0</v>
      </c>
      <c r="AH147" s="18">
        <f t="shared" si="139"/>
        <v>0</v>
      </c>
      <c r="AI147" s="18">
        <f t="shared" si="139"/>
        <v>0</v>
      </c>
      <c r="AJ147" s="18">
        <f t="shared" ref="AJ147:BP147" si="140">IF(AJ22=0,0,(ABS(AJ87)/AJ22))</f>
        <v>0</v>
      </c>
      <c r="AK147" s="18">
        <f t="shared" si="140"/>
        <v>0</v>
      </c>
      <c r="AL147" s="18">
        <f t="shared" si="140"/>
        <v>0</v>
      </c>
      <c r="AM147" s="18">
        <f t="shared" si="140"/>
        <v>0</v>
      </c>
      <c r="AN147" s="18">
        <f t="shared" si="140"/>
        <v>0</v>
      </c>
      <c r="AO147" s="18">
        <f t="shared" si="140"/>
        <v>0</v>
      </c>
      <c r="AP147" s="82">
        <f t="shared" si="140"/>
        <v>0</v>
      </c>
      <c r="AQ147" s="83">
        <f t="shared" si="140"/>
        <v>0</v>
      </c>
      <c r="AR147" s="18">
        <f t="shared" si="140"/>
        <v>0</v>
      </c>
      <c r="AS147" s="18">
        <f t="shared" si="140"/>
        <v>0</v>
      </c>
      <c r="AT147" s="18">
        <f t="shared" si="140"/>
        <v>0</v>
      </c>
      <c r="AU147" s="18">
        <f t="shared" si="140"/>
        <v>0</v>
      </c>
      <c r="AV147" s="18">
        <f t="shared" si="140"/>
        <v>0</v>
      </c>
      <c r="AW147" s="18">
        <f t="shared" si="140"/>
        <v>0</v>
      </c>
      <c r="AX147" s="18">
        <f t="shared" si="140"/>
        <v>0</v>
      </c>
      <c r="AY147" s="18">
        <f t="shared" si="140"/>
        <v>0</v>
      </c>
      <c r="AZ147" s="18">
        <f t="shared" si="140"/>
        <v>0</v>
      </c>
      <c r="BA147" s="18">
        <f t="shared" si="140"/>
        <v>0</v>
      </c>
      <c r="BB147" s="18">
        <f t="shared" si="140"/>
        <v>0</v>
      </c>
      <c r="BC147" s="82">
        <f t="shared" si="140"/>
        <v>0</v>
      </c>
      <c r="BD147" s="18">
        <f t="shared" si="140"/>
        <v>0</v>
      </c>
      <c r="BE147" s="18">
        <f t="shared" si="140"/>
        <v>0</v>
      </c>
      <c r="BF147" s="18">
        <f t="shared" si="140"/>
        <v>0</v>
      </c>
      <c r="BG147" s="18">
        <f t="shared" si="140"/>
        <v>0</v>
      </c>
      <c r="BH147" s="18">
        <f t="shared" si="140"/>
        <v>0</v>
      </c>
      <c r="BI147" s="18">
        <f t="shared" si="140"/>
        <v>0</v>
      </c>
      <c r="BJ147" s="18">
        <f t="shared" si="140"/>
        <v>0</v>
      </c>
      <c r="BK147" s="18">
        <f t="shared" si="140"/>
        <v>0</v>
      </c>
      <c r="BL147" s="18">
        <f t="shared" si="140"/>
        <v>0</v>
      </c>
      <c r="BM147" s="18">
        <f t="shared" si="140"/>
        <v>0</v>
      </c>
      <c r="BN147" s="18">
        <f t="shared" si="140"/>
        <v>0</v>
      </c>
      <c r="BO147" s="18">
        <f t="shared" si="140"/>
        <v>0</v>
      </c>
      <c r="BP147" s="82">
        <f t="shared" si="140"/>
        <v>0</v>
      </c>
    </row>
    <row r="148" spans="1:68" s="18" customFormat="1" x14ac:dyDescent="0.25">
      <c r="A148" s="18" t="s">
        <v>170</v>
      </c>
      <c r="B148" s="80"/>
      <c r="C148" s="81" t="s">
        <v>171</v>
      </c>
      <c r="D148" s="18">
        <f t="shared" ref="D148:AI148" si="141">IF(D53=0,0,(D124/ABS(D53)))</f>
        <v>0</v>
      </c>
      <c r="E148" s="18">
        <f t="shared" si="141"/>
        <v>12.943350077519382</v>
      </c>
      <c r="F148" s="18">
        <f t="shared" si="141"/>
        <v>70.765828464515039</v>
      </c>
      <c r="G148" s="18">
        <f t="shared" si="141"/>
        <v>18.996142463104615</v>
      </c>
      <c r="H148" s="18">
        <f t="shared" si="141"/>
        <v>17.290346289752652</v>
      </c>
      <c r="I148" s="18">
        <f t="shared" si="141"/>
        <v>94.029797230721371</v>
      </c>
      <c r="J148" s="18">
        <f t="shared" si="141"/>
        <v>19.297391660370923</v>
      </c>
      <c r="K148" s="18">
        <f t="shared" si="141"/>
        <v>135.43500631578948</v>
      </c>
      <c r="L148" s="18">
        <f t="shared" si="141"/>
        <v>51.818827830286871</v>
      </c>
      <c r="M148" s="18">
        <f t="shared" si="141"/>
        <v>33.155637199471599</v>
      </c>
      <c r="N148" s="18">
        <f t="shared" si="141"/>
        <v>128.94580169141639</v>
      </c>
      <c r="O148" s="18">
        <f t="shared" si="141"/>
        <v>188.38837373584903</v>
      </c>
      <c r="P148" s="82">
        <f t="shared" si="141"/>
        <v>48.011361310798826</v>
      </c>
      <c r="Q148" s="18">
        <f t="shared" si="141"/>
        <v>9.9914142482374153</v>
      </c>
      <c r="R148" s="18">
        <f t="shared" si="141"/>
        <v>261.01940346456695</v>
      </c>
      <c r="S148" s="18">
        <f t="shared" si="141"/>
        <v>91.42982123456791</v>
      </c>
      <c r="T148" s="18">
        <f t="shared" si="141"/>
        <v>35.333922411612967</v>
      </c>
      <c r="U148" s="18">
        <f t="shared" si="141"/>
        <v>90.407020029441924</v>
      </c>
      <c r="V148" s="18">
        <f t="shared" si="141"/>
        <v>95.102050215827333</v>
      </c>
      <c r="W148" s="18">
        <f t="shared" si="141"/>
        <v>33.228056819317239</v>
      </c>
      <c r="X148" s="18">
        <f t="shared" si="141"/>
        <v>112.34183025</v>
      </c>
      <c r="Y148" s="18">
        <f t="shared" si="141"/>
        <v>40.145118177583946</v>
      </c>
      <c r="Z148" s="18">
        <f t="shared" si="141"/>
        <v>45.229300881176968</v>
      </c>
      <c r="AA148" s="18">
        <f t="shared" si="141"/>
        <v>39.882461309662126</v>
      </c>
      <c r="AB148" s="18">
        <f t="shared" si="141"/>
        <v>158.67692361290321</v>
      </c>
      <c r="AC148" s="82">
        <f t="shared" si="141"/>
        <v>52.772465956504711</v>
      </c>
      <c r="AD148" s="18">
        <f t="shared" si="141"/>
        <v>2.5043951656569576</v>
      </c>
      <c r="AE148" s="18">
        <f t="shared" si="141"/>
        <v>122.2489195034041</v>
      </c>
      <c r="AF148" s="18">
        <f t="shared" si="141"/>
        <v>90.976259093289897</v>
      </c>
      <c r="AG148" s="18">
        <f t="shared" si="141"/>
        <v>57.246505644985064</v>
      </c>
      <c r="AH148" s="18">
        <f t="shared" si="141"/>
        <v>11.804645995138436</v>
      </c>
      <c r="AI148" s="18">
        <f t="shared" si="141"/>
        <v>327.24371592592593</v>
      </c>
      <c r="AJ148" s="18">
        <f t="shared" ref="AJ148:BP148" si="142">IF(AJ53=0,0,(AJ124/ABS(AJ53)))</f>
        <v>16.994401455314385</v>
      </c>
      <c r="AK148" s="18">
        <f t="shared" si="142"/>
        <v>142.06031433333331</v>
      </c>
      <c r="AL148" s="18">
        <f t="shared" si="142"/>
        <v>52.735124423076918</v>
      </c>
      <c r="AM148" s="18">
        <f t="shared" si="142"/>
        <v>31.233288044055406</v>
      </c>
      <c r="AN148" s="18">
        <f t="shared" si="142"/>
        <v>121.22774884230445</v>
      </c>
      <c r="AO148" s="18">
        <f t="shared" si="142"/>
        <v>218.67099809523813</v>
      </c>
      <c r="AP148" s="82">
        <f t="shared" si="142"/>
        <v>52.189344629270444</v>
      </c>
      <c r="AQ148" s="83">
        <f t="shared" si="142"/>
        <v>0</v>
      </c>
      <c r="AR148" s="18">
        <f t="shared" si="142"/>
        <v>0</v>
      </c>
      <c r="AS148" s="18">
        <f t="shared" si="142"/>
        <v>0</v>
      </c>
      <c r="AT148" s="18">
        <f t="shared" si="142"/>
        <v>0</v>
      </c>
      <c r="AU148" s="18">
        <f t="shared" si="142"/>
        <v>0</v>
      </c>
      <c r="AV148" s="18">
        <f t="shared" si="142"/>
        <v>0</v>
      </c>
      <c r="AW148" s="18">
        <f t="shared" si="142"/>
        <v>0</v>
      </c>
      <c r="AX148" s="18">
        <f t="shared" si="142"/>
        <v>0</v>
      </c>
      <c r="AY148" s="18">
        <f t="shared" si="142"/>
        <v>0</v>
      </c>
      <c r="AZ148" s="18">
        <f t="shared" si="142"/>
        <v>0</v>
      </c>
      <c r="BA148" s="18">
        <f t="shared" si="142"/>
        <v>0</v>
      </c>
      <c r="BB148" s="18">
        <f t="shared" si="142"/>
        <v>0</v>
      </c>
      <c r="BC148" s="82">
        <f t="shared" si="142"/>
        <v>0</v>
      </c>
      <c r="BD148" s="18">
        <f t="shared" si="142"/>
        <v>0</v>
      </c>
      <c r="BE148" s="18">
        <f t="shared" si="142"/>
        <v>0</v>
      </c>
      <c r="BF148" s="18">
        <f t="shared" si="142"/>
        <v>0</v>
      </c>
      <c r="BG148" s="18">
        <f t="shared" si="142"/>
        <v>0</v>
      </c>
      <c r="BH148" s="18">
        <f t="shared" si="142"/>
        <v>0</v>
      </c>
      <c r="BI148" s="18">
        <f t="shared" si="142"/>
        <v>0</v>
      </c>
      <c r="BJ148" s="18">
        <f t="shared" si="142"/>
        <v>0</v>
      </c>
      <c r="BK148" s="18">
        <f t="shared" si="142"/>
        <v>0</v>
      </c>
      <c r="BL148" s="18">
        <f t="shared" si="142"/>
        <v>0</v>
      </c>
      <c r="BM148" s="18">
        <f t="shared" si="142"/>
        <v>0</v>
      </c>
      <c r="BN148" s="18">
        <f t="shared" si="142"/>
        <v>0</v>
      </c>
      <c r="BO148" s="18">
        <f t="shared" si="142"/>
        <v>0</v>
      </c>
      <c r="BP148" s="82">
        <f t="shared" si="142"/>
        <v>0</v>
      </c>
    </row>
    <row r="149" spans="1:68" s="18" customFormat="1" x14ac:dyDescent="0.25">
      <c r="A149" s="18" t="s">
        <v>172</v>
      </c>
      <c r="B149" s="80"/>
      <c r="C149" s="81" t="s">
        <v>173</v>
      </c>
      <c r="D149" s="18">
        <f t="shared" ref="D149:AI149" si="143">IF(D42=0,0,(D22/ABS(D42)))</f>
        <v>0</v>
      </c>
      <c r="E149" s="18">
        <f t="shared" si="143"/>
        <v>3.529969382948658</v>
      </c>
      <c r="F149" s="18">
        <f t="shared" si="143"/>
        <v>7.8183133971291872</v>
      </c>
      <c r="G149" s="18">
        <f t="shared" si="143"/>
        <v>6.790361690049469</v>
      </c>
      <c r="H149" s="18">
        <f t="shared" si="143"/>
        <v>2.3862295881062634</v>
      </c>
      <c r="I149" s="18">
        <f t="shared" si="143"/>
        <v>8.6615935043749079</v>
      </c>
      <c r="J149" s="18">
        <f t="shared" si="143"/>
        <v>3.6503426978986218</v>
      </c>
      <c r="K149" s="18">
        <f t="shared" si="143"/>
        <v>9.7639621470679501</v>
      </c>
      <c r="L149" s="18">
        <f t="shared" si="143"/>
        <v>4.844917904612978</v>
      </c>
      <c r="M149" s="18">
        <f t="shared" si="143"/>
        <v>11.459541489438397</v>
      </c>
      <c r="N149" s="18">
        <f t="shared" si="143"/>
        <v>10.028513422061808</v>
      </c>
      <c r="O149" s="18">
        <f t="shared" si="143"/>
        <v>12.009106200779875</v>
      </c>
      <c r="P149" s="82">
        <f t="shared" si="143"/>
        <v>7.4001713102278801</v>
      </c>
      <c r="Q149" s="18">
        <f t="shared" si="143"/>
        <v>4.6210066328521258</v>
      </c>
      <c r="R149" s="18">
        <f t="shared" si="143"/>
        <v>15.362586282860921</v>
      </c>
      <c r="S149" s="18">
        <f t="shared" si="143"/>
        <v>6.0031218384159573</v>
      </c>
      <c r="T149" s="18">
        <f t="shared" si="143"/>
        <v>13.583800814570045</v>
      </c>
      <c r="U149" s="18">
        <f t="shared" si="143"/>
        <v>10.173161624628515</v>
      </c>
      <c r="V149" s="18">
        <f t="shared" si="143"/>
        <v>11.324987996158772</v>
      </c>
      <c r="W149" s="18">
        <f t="shared" si="143"/>
        <v>8.7889685459049627</v>
      </c>
      <c r="X149" s="18">
        <f t="shared" si="143"/>
        <v>8.9653625322046366</v>
      </c>
      <c r="Y149" s="18">
        <f t="shared" si="143"/>
        <v>3.923695602642971</v>
      </c>
      <c r="Z149" s="18">
        <f t="shared" si="143"/>
        <v>16.435409747431837</v>
      </c>
      <c r="AA149" s="18">
        <f t="shared" si="143"/>
        <v>4.0618150279902236</v>
      </c>
      <c r="AB149" s="18">
        <f t="shared" si="143"/>
        <v>12.673235075551153</v>
      </c>
      <c r="AC149" s="82">
        <f t="shared" si="143"/>
        <v>9.6454689025440778</v>
      </c>
      <c r="AD149" s="18">
        <f t="shared" si="143"/>
        <v>4.293502149055227</v>
      </c>
      <c r="AE149" s="18">
        <f t="shared" si="143"/>
        <v>8.517824703051005</v>
      </c>
      <c r="AF149" s="18">
        <f t="shared" si="143"/>
        <v>7.1155607728427386</v>
      </c>
      <c r="AG149" s="18">
        <f t="shared" si="143"/>
        <v>14.085495965150324</v>
      </c>
      <c r="AH149" s="18">
        <f t="shared" si="143"/>
        <v>2.6292982977774475</v>
      </c>
      <c r="AI149" s="18">
        <f t="shared" si="143"/>
        <v>13.767029962819858</v>
      </c>
      <c r="AJ149" s="18">
        <f t="shared" ref="AJ149:BP149" si="144">IF(AJ42=0,0,(AJ22/ABS(AJ42)))</f>
        <v>4.6363954722320484</v>
      </c>
      <c r="AK149" s="18">
        <f t="shared" si="144"/>
        <v>7.831789435860582</v>
      </c>
      <c r="AL149" s="18">
        <f t="shared" si="144"/>
        <v>4.7899897443410735</v>
      </c>
      <c r="AM149" s="18">
        <f t="shared" si="144"/>
        <v>10.285602874837526</v>
      </c>
      <c r="AN149" s="18">
        <f t="shared" si="144"/>
        <v>10.377284006316264</v>
      </c>
      <c r="AO149" s="18">
        <f t="shared" si="144"/>
        <v>9.2915192432666611</v>
      </c>
      <c r="AP149" s="82">
        <f t="shared" si="144"/>
        <v>8.1688434570748392</v>
      </c>
      <c r="AQ149" s="83">
        <f t="shared" si="144"/>
        <v>0</v>
      </c>
      <c r="AR149" s="18">
        <f t="shared" si="144"/>
        <v>0</v>
      </c>
      <c r="AS149" s="18">
        <f t="shared" si="144"/>
        <v>0</v>
      </c>
      <c r="AT149" s="18">
        <f t="shared" si="144"/>
        <v>0</v>
      </c>
      <c r="AU149" s="18">
        <f t="shared" si="144"/>
        <v>0</v>
      </c>
      <c r="AV149" s="18">
        <f t="shared" si="144"/>
        <v>0</v>
      </c>
      <c r="AW149" s="18">
        <f t="shared" si="144"/>
        <v>0</v>
      </c>
      <c r="AX149" s="18">
        <f t="shared" si="144"/>
        <v>0</v>
      </c>
      <c r="AY149" s="18">
        <f t="shared" si="144"/>
        <v>0</v>
      </c>
      <c r="AZ149" s="18">
        <f t="shared" si="144"/>
        <v>0</v>
      </c>
      <c r="BA149" s="18">
        <f t="shared" si="144"/>
        <v>0</v>
      </c>
      <c r="BB149" s="18">
        <f t="shared" si="144"/>
        <v>0</v>
      </c>
      <c r="BC149" s="82">
        <f t="shared" si="144"/>
        <v>0</v>
      </c>
      <c r="BD149" s="18">
        <f t="shared" si="144"/>
        <v>0</v>
      </c>
      <c r="BE149" s="18">
        <f t="shared" si="144"/>
        <v>0</v>
      </c>
      <c r="BF149" s="18">
        <f t="shared" si="144"/>
        <v>0</v>
      </c>
      <c r="BG149" s="18">
        <f t="shared" si="144"/>
        <v>0</v>
      </c>
      <c r="BH149" s="18">
        <f t="shared" si="144"/>
        <v>0</v>
      </c>
      <c r="BI149" s="18">
        <f t="shared" si="144"/>
        <v>0</v>
      </c>
      <c r="BJ149" s="18">
        <f t="shared" si="144"/>
        <v>0</v>
      </c>
      <c r="BK149" s="18">
        <f t="shared" si="144"/>
        <v>0</v>
      </c>
      <c r="BL149" s="18">
        <f t="shared" si="144"/>
        <v>0</v>
      </c>
      <c r="BM149" s="18">
        <f t="shared" si="144"/>
        <v>0</v>
      </c>
      <c r="BN149" s="18">
        <f t="shared" si="144"/>
        <v>0</v>
      </c>
      <c r="BO149" s="18">
        <f t="shared" si="144"/>
        <v>0</v>
      </c>
      <c r="BP149" s="82">
        <f t="shared" si="144"/>
        <v>0</v>
      </c>
    </row>
    <row r="150" spans="1:68" s="17" customFormat="1" x14ac:dyDescent="0.25">
      <c r="A150" s="17" t="s">
        <v>174</v>
      </c>
      <c r="B150" s="76"/>
      <c r="C150" s="77" t="s">
        <v>175</v>
      </c>
      <c r="D150" s="17">
        <f t="shared" ref="D150:AI150" si="145">IF(D119=0,0,(D119-D121-D122-D53)/D119)</f>
        <v>0</v>
      </c>
      <c r="E150" s="17">
        <f t="shared" si="145"/>
        <v>1.8686048070988939</v>
      </c>
      <c r="F150" s="17">
        <f t="shared" si="145"/>
        <v>1.2968723047806723</v>
      </c>
      <c r="G150" s="17">
        <f t="shared" si="145"/>
        <v>1.3937775938575421</v>
      </c>
      <c r="H150" s="17">
        <f t="shared" si="145"/>
        <v>1.6469547087201801</v>
      </c>
      <c r="I150" s="17">
        <f t="shared" si="145"/>
        <v>1.3509745163630762</v>
      </c>
      <c r="J150" s="17">
        <f t="shared" si="145"/>
        <v>1.503506742926942</v>
      </c>
      <c r="K150" s="17">
        <f t="shared" si="145"/>
        <v>1.3459453116931608</v>
      </c>
      <c r="L150" s="17">
        <f t="shared" si="145"/>
        <v>1.3156355098025838</v>
      </c>
      <c r="M150" s="17">
        <f t="shared" si="145"/>
        <v>1.3238628293614618</v>
      </c>
      <c r="N150" s="17">
        <f t="shared" si="145"/>
        <v>1.382366729349805</v>
      </c>
      <c r="O150" s="17">
        <f t="shared" si="145"/>
        <v>1.2961928526088533</v>
      </c>
      <c r="P150" s="78">
        <f t="shared" si="145"/>
        <v>1.3752715209889617</v>
      </c>
      <c r="Q150" s="17">
        <f t="shared" si="145"/>
        <v>1.4833782789750449</v>
      </c>
      <c r="R150" s="17">
        <f t="shared" si="145"/>
        <v>1.2766032454828384</v>
      </c>
      <c r="S150" s="17">
        <f t="shared" si="145"/>
        <v>1.292251644372538</v>
      </c>
      <c r="T150" s="17">
        <f t="shared" si="145"/>
        <v>1.3072986547186674</v>
      </c>
      <c r="U150" s="17">
        <f t="shared" si="145"/>
        <v>1.3495333537074987</v>
      </c>
      <c r="V150" s="17">
        <f t="shared" si="145"/>
        <v>1.1663428555075166</v>
      </c>
      <c r="W150" s="17">
        <f t="shared" si="145"/>
        <v>1.291870831246047</v>
      </c>
      <c r="X150" s="17">
        <f t="shared" si="145"/>
        <v>1.384131918983172</v>
      </c>
      <c r="Y150" s="17">
        <f t="shared" si="145"/>
        <v>1.3681198684559444</v>
      </c>
      <c r="Z150" s="17">
        <f t="shared" si="145"/>
        <v>1.2590126004955609</v>
      </c>
      <c r="AA150" s="17">
        <f t="shared" si="145"/>
        <v>1.4408951393741751</v>
      </c>
      <c r="AB150" s="17">
        <f t="shared" si="145"/>
        <v>1.2838285701813621</v>
      </c>
      <c r="AC150" s="78">
        <f t="shared" si="145"/>
        <v>1.302102424439866</v>
      </c>
      <c r="AD150" s="17">
        <f t="shared" si="145"/>
        <v>2.0974613706110374</v>
      </c>
      <c r="AE150" s="17">
        <f t="shared" si="145"/>
        <v>1.0977270332392359</v>
      </c>
      <c r="AF150" s="17">
        <f t="shared" si="145"/>
        <v>1.3106700635288964</v>
      </c>
      <c r="AG150" s="17">
        <f t="shared" si="145"/>
        <v>1.2904072557584902</v>
      </c>
      <c r="AH150" s="17">
        <f t="shared" si="145"/>
        <v>2.130378783188374</v>
      </c>
      <c r="AI150" s="17">
        <f t="shared" si="145"/>
        <v>1.1416538366526365</v>
      </c>
      <c r="AJ150" s="17">
        <f t="shared" ref="AJ150:BP150" si="146">IF(AJ119=0,0,(AJ119-AJ121-AJ122-AJ53)/AJ119)</f>
        <v>1.4332617507013379</v>
      </c>
      <c r="AK150" s="17">
        <f t="shared" si="146"/>
        <v>1.3561437226410324</v>
      </c>
      <c r="AL150" s="17">
        <f t="shared" si="146"/>
        <v>1.3932481741722316</v>
      </c>
      <c r="AM150" s="17">
        <f t="shared" si="146"/>
        <v>1.359424076048092</v>
      </c>
      <c r="AN150" s="17">
        <f t="shared" si="146"/>
        <v>1.2243585022553123</v>
      </c>
      <c r="AO150" s="17">
        <f t="shared" si="146"/>
        <v>1.6659786172099791</v>
      </c>
      <c r="AP150" s="78">
        <f t="shared" si="146"/>
        <v>1.3523002301444913</v>
      </c>
      <c r="AQ150" s="79">
        <f t="shared" si="146"/>
        <v>0</v>
      </c>
      <c r="AR150" s="17">
        <f t="shared" si="146"/>
        <v>0</v>
      </c>
      <c r="AS150" s="17">
        <f t="shared" si="146"/>
        <v>0</v>
      </c>
      <c r="AT150" s="17">
        <f t="shared" si="146"/>
        <v>0</v>
      </c>
      <c r="AU150" s="17">
        <f t="shared" si="146"/>
        <v>0</v>
      </c>
      <c r="AV150" s="17">
        <f t="shared" si="146"/>
        <v>0</v>
      </c>
      <c r="AW150" s="17">
        <f t="shared" si="146"/>
        <v>0</v>
      </c>
      <c r="AX150" s="17">
        <f t="shared" si="146"/>
        <v>0</v>
      </c>
      <c r="AY150" s="17">
        <f t="shared" si="146"/>
        <v>0</v>
      </c>
      <c r="AZ150" s="17">
        <f t="shared" si="146"/>
        <v>0</v>
      </c>
      <c r="BA150" s="17">
        <f t="shared" si="146"/>
        <v>0</v>
      </c>
      <c r="BB150" s="17">
        <f t="shared" si="146"/>
        <v>0</v>
      </c>
      <c r="BC150" s="78">
        <f t="shared" si="146"/>
        <v>0</v>
      </c>
      <c r="BD150" s="17">
        <f t="shared" si="146"/>
        <v>0</v>
      </c>
      <c r="BE150" s="17">
        <f t="shared" si="146"/>
        <v>0</v>
      </c>
      <c r="BF150" s="17">
        <f t="shared" si="146"/>
        <v>0</v>
      </c>
      <c r="BG150" s="17">
        <f t="shared" si="146"/>
        <v>0</v>
      </c>
      <c r="BH150" s="17">
        <f t="shared" si="146"/>
        <v>0</v>
      </c>
      <c r="BI150" s="17">
        <f t="shared" si="146"/>
        <v>0</v>
      </c>
      <c r="BJ150" s="17">
        <f t="shared" si="146"/>
        <v>0</v>
      </c>
      <c r="BK150" s="17">
        <f t="shared" si="146"/>
        <v>0</v>
      </c>
      <c r="BL150" s="17">
        <f t="shared" si="146"/>
        <v>0</v>
      </c>
      <c r="BM150" s="17">
        <f t="shared" si="146"/>
        <v>0</v>
      </c>
      <c r="BN150" s="17">
        <f t="shared" si="146"/>
        <v>0</v>
      </c>
      <c r="BO150" s="17">
        <f t="shared" si="146"/>
        <v>0</v>
      </c>
      <c r="BP150" s="78">
        <f t="shared" si="146"/>
        <v>0</v>
      </c>
    </row>
    <row r="151" spans="1:68" s="17" customFormat="1" x14ac:dyDescent="0.25">
      <c r="A151" s="17" t="s">
        <v>176</v>
      </c>
      <c r="B151" s="76"/>
      <c r="C151" s="77" t="s">
        <v>177</v>
      </c>
      <c r="D151" s="17">
        <f t="shared" ref="D151:AI151" si="147">IF(0=0,0,(0-0-0-0)/0)</f>
        <v>0</v>
      </c>
      <c r="E151" s="17">
        <f t="shared" si="147"/>
        <v>0</v>
      </c>
      <c r="F151" s="17">
        <f t="shared" si="147"/>
        <v>0</v>
      </c>
      <c r="G151" s="17">
        <f t="shared" si="147"/>
        <v>0</v>
      </c>
      <c r="H151" s="17">
        <f t="shared" si="147"/>
        <v>0</v>
      </c>
      <c r="I151" s="17">
        <f t="shared" si="147"/>
        <v>0</v>
      </c>
      <c r="J151" s="17">
        <f t="shared" si="147"/>
        <v>0</v>
      </c>
      <c r="K151" s="17">
        <f t="shared" si="147"/>
        <v>0</v>
      </c>
      <c r="L151" s="17">
        <f t="shared" si="147"/>
        <v>0</v>
      </c>
      <c r="M151" s="17">
        <f t="shared" si="147"/>
        <v>0</v>
      </c>
      <c r="N151" s="17">
        <f t="shared" si="147"/>
        <v>0</v>
      </c>
      <c r="O151" s="17">
        <f t="shared" si="147"/>
        <v>0</v>
      </c>
      <c r="P151" s="78">
        <f t="shared" si="147"/>
        <v>0</v>
      </c>
      <c r="Q151" s="17">
        <f t="shared" si="147"/>
        <v>0</v>
      </c>
      <c r="R151" s="17">
        <f t="shared" si="147"/>
        <v>0</v>
      </c>
      <c r="S151" s="17">
        <f t="shared" si="147"/>
        <v>0</v>
      </c>
      <c r="T151" s="17">
        <f t="shared" si="147"/>
        <v>0</v>
      </c>
      <c r="U151" s="17">
        <f t="shared" si="147"/>
        <v>0</v>
      </c>
      <c r="V151" s="17">
        <f t="shared" si="147"/>
        <v>0</v>
      </c>
      <c r="W151" s="17">
        <f t="shared" si="147"/>
        <v>0</v>
      </c>
      <c r="X151" s="17">
        <f t="shared" si="147"/>
        <v>0</v>
      </c>
      <c r="Y151" s="17">
        <f t="shared" si="147"/>
        <v>0</v>
      </c>
      <c r="Z151" s="17">
        <f t="shared" si="147"/>
        <v>0</v>
      </c>
      <c r="AA151" s="17">
        <f t="shared" si="147"/>
        <v>0</v>
      </c>
      <c r="AB151" s="17">
        <f t="shared" si="147"/>
        <v>0</v>
      </c>
      <c r="AC151" s="78">
        <f t="shared" si="147"/>
        <v>0</v>
      </c>
      <c r="AD151" s="17">
        <f t="shared" si="147"/>
        <v>0</v>
      </c>
      <c r="AE151" s="17">
        <f t="shared" si="147"/>
        <v>0</v>
      </c>
      <c r="AF151" s="17">
        <f t="shared" si="147"/>
        <v>0</v>
      </c>
      <c r="AG151" s="17">
        <f t="shared" si="147"/>
        <v>0</v>
      </c>
      <c r="AH151" s="17">
        <f t="shared" si="147"/>
        <v>0</v>
      </c>
      <c r="AI151" s="17">
        <f t="shared" si="147"/>
        <v>0</v>
      </c>
      <c r="AJ151" s="17">
        <f t="shared" ref="AJ151:BP151" si="148">IF(0=0,0,(0-0-0-0)/0)</f>
        <v>0</v>
      </c>
      <c r="AK151" s="17">
        <f t="shared" si="148"/>
        <v>0</v>
      </c>
      <c r="AL151" s="17">
        <f t="shared" si="148"/>
        <v>0</v>
      </c>
      <c r="AM151" s="17">
        <f t="shared" si="148"/>
        <v>0</v>
      </c>
      <c r="AN151" s="17">
        <f t="shared" si="148"/>
        <v>0</v>
      </c>
      <c r="AO151" s="17">
        <f t="shared" si="148"/>
        <v>0</v>
      </c>
      <c r="AP151" s="78">
        <f t="shared" si="148"/>
        <v>0</v>
      </c>
      <c r="AQ151" s="79">
        <f t="shared" si="148"/>
        <v>0</v>
      </c>
      <c r="AR151" s="17">
        <f t="shared" si="148"/>
        <v>0</v>
      </c>
      <c r="AS151" s="17">
        <f t="shared" si="148"/>
        <v>0</v>
      </c>
      <c r="AT151" s="17">
        <f t="shared" si="148"/>
        <v>0</v>
      </c>
      <c r="AU151" s="17">
        <f t="shared" si="148"/>
        <v>0</v>
      </c>
      <c r="AV151" s="17">
        <f t="shared" si="148"/>
        <v>0</v>
      </c>
      <c r="AW151" s="17">
        <f t="shared" si="148"/>
        <v>0</v>
      </c>
      <c r="AX151" s="17">
        <f t="shared" si="148"/>
        <v>0</v>
      </c>
      <c r="AY151" s="17">
        <f t="shared" si="148"/>
        <v>0</v>
      </c>
      <c r="AZ151" s="17">
        <f t="shared" si="148"/>
        <v>0</v>
      </c>
      <c r="BA151" s="17">
        <f t="shared" si="148"/>
        <v>0</v>
      </c>
      <c r="BB151" s="17">
        <f t="shared" si="148"/>
        <v>0</v>
      </c>
      <c r="BC151" s="78">
        <f t="shared" si="148"/>
        <v>0</v>
      </c>
      <c r="BD151" s="17">
        <f t="shared" si="148"/>
        <v>0</v>
      </c>
      <c r="BE151" s="17">
        <f t="shared" si="148"/>
        <v>0</v>
      </c>
      <c r="BF151" s="17">
        <f t="shared" si="148"/>
        <v>0</v>
      </c>
      <c r="BG151" s="17">
        <f t="shared" si="148"/>
        <v>0</v>
      </c>
      <c r="BH151" s="17">
        <f t="shared" si="148"/>
        <v>0</v>
      </c>
      <c r="BI151" s="17">
        <f t="shared" si="148"/>
        <v>0</v>
      </c>
      <c r="BJ151" s="17">
        <f t="shared" si="148"/>
        <v>0</v>
      </c>
      <c r="BK151" s="17">
        <f t="shared" si="148"/>
        <v>0</v>
      </c>
      <c r="BL151" s="17">
        <f t="shared" si="148"/>
        <v>0</v>
      </c>
      <c r="BM151" s="17">
        <f t="shared" si="148"/>
        <v>0</v>
      </c>
      <c r="BN151" s="17">
        <f t="shared" si="148"/>
        <v>0</v>
      </c>
      <c r="BO151" s="17">
        <f t="shared" si="148"/>
        <v>0</v>
      </c>
      <c r="BP151" s="78">
        <f t="shared" si="148"/>
        <v>0</v>
      </c>
    </row>
    <row r="152" spans="1:68" s="17" customFormat="1" x14ac:dyDescent="0.25">
      <c r="A152" s="17" t="s">
        <v>178</v>
      </c>
      <c r="B152" s="76"/>
      <c r="C152" s="77" t="s">
        <v>179</v>
      </c>
      <c r="D152" s="17">
        <f t="shared" ref="D152:AI152" si="149">IF(0=0,0,(0-0)/0)</f>
        <v>0</v>
      </c>
      <c r="E152" s="17">
        <f t="shared" si="149"/>
        <v>0</v>
      </c>
      <c r="F152" s="17">
        <f t="shared" si="149"/>
        <v>0</v>
      </c>
      <c r="G152" s="17">
        <f t="shared" si="149"/>
        <v>0</v>
      </c>
      <c r="H152" s="17">
        <f t="shared" si="149"/>
        <v>0</v>
      </c>
      <c r="I152" s="17">
        <f t="shared" si="149"/>
        <v>0</v>
      </c>
      <c r="J152" s="17">
        <f t="shared" si="149"/>
        <v>0</v>
      </c>
      <c r="K152" s="17">
        <f t="shared" si="149"/>
        <v>0</v>
      </c>
      <c r="L152" s="17">
        <f t="shared" si="149"/>
        <v>0</v>
      </c>
      <c r="M152" s="17">
        <f t="shared" si="149"/>
        <v>0</v>
      </c>
      <c r="N152" s="17">
        <f t="shared" si="149"/>
        <v>0</v>
      </c>
      <c r="O152" s="17">
        <f t="shared" si="149"/>
        <v>0</v>
      </c>
      <c r="P152" s="78">
        <f t="shared" si="149"/>
        <v>0</v>
      </c>
      <c r="Q152" s="17">
        <f t="shared" si="149"/>
        <v>0</v>
      </c>
      <c r="R152" s="17">
        <f t="shared" si="149"/>
        <v>0</v>
      </c>
      <c r="S152" s="17">
        <f t="shared" si="149"/>
        <v>0</v>
      </c>
      <c r="T152" s="17">
        <f t="shared" si="149"/>
        <v>0</v>
      </c>
      <c r="U152" s="17">
        <f t="shared" si="149"/>
        <v>0</v>
      </c>
      <c r="V152" s="17">
        <f t="shared" si="149"/>
        <v>0</v>
      </c>
      <c r="W152" s="17">
        <f t="shared" si="149"/>
        <v>0</v>
      </c>
      <c r="X152" s="17">
        <f t="shared" si="149"/>
        <v>0</v>
      </c>
      <c r="Y152" s="17">
        <f t="shared" si="149"/>
        <v>0</v>
      </c>
      <c r="Z152" s="17">
        <f t="shared" si="149"/>
        <v>0</v>
      </c>
      <c r="AA152" s="17">
        <f t="shared" si="149"/>
        <v>0</v>
      </c>
      <c r="AB152" s="17">
        <f t="shared" si="149"/>
        <v>0</v>
      </c>
      <c r="AC152" s="78">
        <f t="shared" si="149"/>
        <v>0</v>
      </c>
      <c r="AD152" s="17">
        <f t="shared" si="149"/>
        <v>0</v>
      </c>
      <c r="AE152" s="17">
        <f t="shared" si="149"/>
        <v>0</v>
      </c>
      <c r="AF152" s="17">
        <f t="shared" si="149"/>
        <v>0</v>
      </c>
      <c r="AG152" s="17">
        <f t="shared" si="149"/>
        <v>0</v>
      </c>
      <c r="AH152" s="17">
        <f t="shared" si="149"/>
        <v>0</v>
      </c>
      <c r="AI152" s="17">
        <f t="shared" si="149"/>
        <v>0</v>
      </c>
      <c r="AJ152" s="17">
        <f t="shared" ref="AJ152:BP152" si="150">IF(0=0,0,(0-0)/0)</f>
        <v>0</v>
      </c>
      <c r="AK152" s="17">
        <f t="shared" si="150"/>
        <v>0</v>
      </c>
      <c r="AL152" s="17">
        <f t="shared" si="150"/>
        <v>0</v>
      </c>
      <c r="AM152" s="17">
        <f t="shared" si="150"/>
        <v>0</v>
      </c>
      <c r="AN152" s="17">
        <f t="shared" si="150"/>
        <v>0</v>
      </c>
      <c r="AO152" s="17">
        <f t="shared" si="150"/>
        <v>0</v>
      </c>
      <c r="AP152" s="78">
        <f t="shared" si="150"/>
        <v>0</v>
      </c>
      <c r="AQ152" s="79">
        <f t="shared" si="150"/>
        <v>0</v>
      </c>
      <c r="AR152" s="17">
        <f t="shared" si="150"/>
        <v>0</v>
      </c>
      <c r="AS152" s="17">
        <f t="shared" si="150"/>
        <v>0</v>
      </c>
      <c r="AT152" s="17">
        <f t="shared" si="150"/>
        <v>0</v>
      </c>
      <c r="AU152" s="17">
        <f t="shared" si="150"/>
        <v>0</v>
      </c>
      <c r="AV152" s="17">
        <f t="shared" si="150"/>
        <v>0</v>
      </c>
      <c r="AW152" s="17">
        <f t="shared" si="150"/>
        <v>0</v>
      </c>
      <c r="AX152" s="17">
        <f t="shared" si="150"/>
        <v>0</v>
      </c>
      <c r="AY152" s="17">
        <f t="shared" si="150"/>
        <v>0</v>
      </c>
      <c r="AZ152" s="17">
        <f t="shared" si="150"/>
        <v>0</v>
      </c>
      <c r="BA152" s="17">
        <f t="shared" si="150"/>
        <v>0</v>
      </c>
      <c r="BB152" s="17">
        <f t="shared" si="150"/>
        <v>0</v>
      </c>
      <c r="BC152" s="78">
        <f t="shared" si="150"/>
        <v>0</v>
      </c>
      <c r="BD152" s="17">
        <f t="shared" si="150"/>
        <v>0</v>
      </c>
      <c r="BE152" s="17">
        <f t="shared" si="150"/>
        <v>0</v>
      </c>
      <c r="BF152" s="17">
        <f t="shared" si="150"/>
        <v>0</v>
      </c>
      <c r="BG152" s="17">
        <f t="shared" si="150"/>
        <v>0</v>
      </c>
      <c r="BH152" s="17">
        <f t="shared" si="150"/>
        <v>0</v>
      </c>
      <c r="BI152" s="17">
        <f t="shared" si="150"/>
        <v>0</v>
      </c>
      <c r="BJ152" s="17">
        <f t="shared" si="150"/>
        <v>0</v>
      </c>
      <c r="BK152" s="17">
        <f t="shared" si="150"/>
        <v>0</v>
      </c>
      <c r="BL152" s="17">
        <f t="shared" si="150"/>
        <v>0</v>
      </c>
      <c r="BM152" s="17">
        <f t="shared" si="150"/>
        <v>0</v>
      </c>
      <c r="BN152" s="17">
        <f t="shared" si="150"/>
        <v>0</v>
      </c>
      <c r="BO152" s="17">
        <f t="shared" si="150"/>
        <v>0</v>
      </c>
      <c r="BP152" s="78">
        <f t="shared" si="150"/>
        <v>0</v>
      </c>
    </row>
    <row r="153" spans="1:68" s="17" customFormat="1" x14ac:dyDescent="0.25">
      <c r="A153" s="17" t="s">
        <v>180</v>
      </c>
      <c r="B153" s="76"/>
      <c r="C153" s="77" t="s">
        <v>181</v>
      </c>
      <c r="D153" s="17">
        <f t="shared" ref="D153:AI153" si="151">IF(D121=0,0,0/D121)</f>
        <v>0</v>
      </c>
      <c r="E153" s="17">
        <f t="shared" si="151"/>
        <v>0</v>
      </c>
      <c r="F153" s="17">
        <f t="shared" si="151"/>
        <v>0</v>
      </c>
      <c r="G153" s="17">
        <f t="shared" si="151"/>
        <v>0</v>
      </c>
      <c r="H153" s="17">
        <f t="shared" si="151"/>
        <v>0</v>
      </c>
      <c r="I153" s="17">
        <f t="shared" si="151"/>
        <v>0</v>
      </c>
      <c r="J153" s="17">
        <f t="shared" si="151"/>
        <v>0</v>
      </c>
      <c r="K153" s="17">
        <f t="shared" si="151"/>
        <v>0</v>
      </c>
      <c r="L153" s="17">
        <f t="shared" si="151"/>
        <v>0</v>
      </c>
      <c r="M153" s="17">
        <f t="shared" si="151"/>
        <v>0</v>
      </c>
      <c r="N153" s="17">
        <f t="shared" si="151"/>
        <v>0</v>
      </c>
      <c r="O153" s="17">
        <f t="shared" si="151"/>
        <v>0</v>
      </c>
      <c r="P153" s="78">
        <f t="shared" si="151"/>
        <v>0</v>
      </c>
      <c r="Q153" s="17">
        <f t="shared" si="151"/>
        <v>0</v>
      </c>
      <c r="R153" s="17">
        <f t="shared" si="151"/>
        <v>0</v>
      </c>
      <c r="S153" s="17">
        <f t="shared" si="151"/>
        <v>0</v>
      </c>
      <c r="T153" s="17">
        <f t="shared" si="151"/>
        <v>0</v>
      </c>
      <c r="U153" s="17">
        <f t="shared" si="151"/>
        <v>0</v>
      </c>
      <c r="V153" s="17">
        <f t="shared" si="151"/>
        <v>0</v>
      </c>
      <c r="W153" s="17">
        <f t="shared" si="151"/>
        <v>0</v>
      </c>
      <c r="X153" s="17">
        <f t="shared" si="151"/>
        <v>0</v>
      </c>
      <c r="Y153" s="17">
        <f t="shared" si="151"/>
        <v>0</v>
      </c>
      <c r="Z153" s="17">
        <f t="shared" si="151"/>
        <v>0</v>
      </c>
      <c r="AA153" s="17">
        <f t="shared" si="151"/>
        <v>0</v>
      </c>
      <c r="AB153" s="17">
        <f t="shared" si="151"/>
        <v>0</v>
      </c>
      <c r="AC153" s="78">
        <f t="shared" si="151"/>
        <v>0</v>
      </c>
      <c r="AD153" s="17">
        <f t="shared" si="151"/>
        <v>0</v>
      </c>
      <c r="AE153" s="17">
        <f t="shared" si="151"/>
        <v>0</v>
      </c>
      <c r="AF153" s="17">
        <f t="shared" si="151"/>
        <v>0</v>
      </c>
      <c r="AG153" s="17">
        <f t="shared" si="151"/>
        <v>0</v>
      </c>
      <c r="AH153" s="17">
        <f t="shared" si="151"/>
        <v>0</v>
      </c>
      <c r="AI153" s="17">
        <f t="shared" si="151"/>
        <v>0</v>
      </c>
      <c r="AJ153" s="17">
        <f t="shared" ref="AJ153:BP153" si="152">IF(AJ121=0,0,0/AJ121)</f>
        <v>0</v>
      </c>
      <c r="AK153" s="17">
        <f t="shared" si="152"/>
        <v>0</v>
      </c>
      <c r="AL153" s="17">
        <f t="shared" si="152"/>
        <v>0</v>
      </c>
      <c r="AM153" s="17">
        <f t="shared" si="152"/>
        <v>0</v>
      </c>
      <c r="AN153" s="17">
        <f t="shared" si="152"/>
        <v>0</v>
      </c>
      <c r="AO153" s="17">
        <f t="shared" si="152"/>
        <v>0</v>
      </c>
      <c r="AP153" s="78">
        <f t="shared" si="152"/>
        <v>0</v>
      </c>
      <c r="AQ153" s="79">
        <f t="shared" si="152"/>
        <v>0</v>
      </c>
      <c r="AR153" s="17">
        <f t="shared" si="152"/>
        <v>0</v>
      </c>
      <c r="AS153" s="17">
        <f t="shared" si="152"/>
        <v>0</v>
      </c>
      <c r="AT153" s="17">
        <f t="shared" si="152"/>
        <v>0</v>
      </c>
      <c r="AU153" s="17">
        <f t="shared" si="152"/>
        <v>0</v>
      </c>
      <c r="AV153" s="17">
        <f t="shared" si="152"/>
        <v>0</v>
      </c>
      <c r="AW153" s="17">
        <f t="shared" si="152"/>
        <v>0</v>
      </c>
      <c r="AX153" s="17">
        <f t="shared" si="152"/>
        <v>0</v>
      </c>
      <c r="AY153" s="17">
        <f t="shared" si="152"/>
        <v>0</v>
      </c>
      <c r="AZ153" s="17">
        <f t="shared" si="152"/>
        <v>0</v>
      </c>
      <c r="BA153" s="17">
        <f t="shared" si="152"/>
        <v>0</v>
      </c>
      <c r="BB153" s="17">
        <f t="shared" si="152"/>
        <v>0</v>
      </c>
      <c r="BC153" s="78">
        <f t="shared" si="152"/>
        <v>0</v>
      </c>
      <c r="BD153" s="17">
        <f t="shared" si="152"/>
        <v>0</v>
      </c>
      <c r="BE153" s="17">
        <f t="shared" si="152"/>
        <v>0</v>
      </c>
      <c r="BF153" s="17">
        <f t="shared" si="152"/>
        <v>0</v>
      </c>
      <c r="BG153" s="17">
        <f t="shared" si="152"/>
        <v>0</v>
      </c>
      <c r="BH153" s="17">
        <f t="shared" si="152"/>
        <v>0</v>
      </c>
      <c r="BI153" s="17">
        <f t="shared" si="152"/>
        <v>0</v>
      </c>
      <c r="BJ153" s="17">
        <f t="shared" si="152"/>
        <v>0</v>
      </c>
      <c r="BK153" s="17">
        <f t="shared" si="152"/>
        <v>0</v>
      </c>
      <c r="BL153" s="17">
        <f t="shared" si="152"/>
        <v>0</v>
      </c>
      <c r="BM153" s="17">
        <f t="shared" si="152"/>
        <v>0</v>
      </c>
      <c r="BN153" s="17">
        <f t="shared" si="152"/>
        <v>0</v>
      </c>
      <c r="BO153" s="17">
        <f t="shared" si="152"/>
        <v>0</v>
      </c>
      <c r="BP153" s="78">
        <f t="shared" si="152"/>
        <v>0</v>
      </c>
    </row>
    <row r="154" spans="1:68" s="19" customFormat="1" x14ac:dyDescent="0.25">
      <c r="A154" s="19" t="s">
        <v>182</v>
      </c>
      <c r="B154" s="84"/>
      <c r="C154" s="85" t="s">
        <v>183</v>
      </c>
      <c r="D154" s="19">
        <f t="shared" ref="D154:AI154" si="153">IF((D119-D121-D122-D53)=0,0,(ABS(D134)/(D119-D121-D122-D53)))</f>
        <v>0</v>
      </c>
      <c r="E154" s="19">
        <f t="shared" si="153"/>
        <v>0</v>
      </c>
      <c r="F154" s="19">
        <f t="shared" si="153"/>
        <v>0</v>
      </c>
      <c r="G154" s="19">
        <f t="shared" si="153"/>
        <v>0</v>
      </c>
      <c r="H154" s="19">
        <f t="shared" si="153"/>
        <v>0</v>
      </c>
      <c r="I154" s="19">
        <f t="shared" si="153"/>
        <v>0</v>
      </c>
      <c r="J154" s="19">
        <f t="shared" si="153"/>
        <v>0</v>
      </c>
      <c r="K154" s="19">
        <f t="shared" si="153"/>
        <v>0</v>
      </c>
      <c r="L154" s="19">
        <f t="shared" si="153"/>
        <v>0</v>
      </c>
      <c r="M154" s="19">
        <f t="shared" si="153"/>
        <v>0</v>
      </c>
      <c r="N154" s="19">
        <f t="shared" si="153"/>
        <v>0</v>
      </c>
      <c r="O154" s="19">
        <f t="shared" si="153"/>
        <v>0</v>
      </c>
      <c r="P154" s="86">
        <f t="shared" si="153"/>
        <v>0</v>
      </c>
      <c r="Q154" s="19">
        <f t="shared" si="153"/>
        <v>0</v>
      </c>
      <c r="R154" s="19">
        <f t="shared" si="153"/>
        <v>0</v>
      </c>
      <c r="S154" s="19">
        <f t="shared" si="153"/>
        <v>0</v>
      </c>
      <c r="T154" s="19">
        <f t="shared" si="153"/>
        <v>0</v>
      </c>
      <c r="U154" s="19">
        <f t="shared" si="153"/>
        <v>0</v>
      </c>
      <c r="V154" s="19">
        <f t="shared" si="153"/>
        <v>0</v>
      </c>
      <c r="W154" s="19">
        <f t="shared" si="153"/>
        <v>0</v>
      </c>
      <c r="X154" s="19">
        <f t="shared" si="153"/>
        <v>0</v>
      </c>
      <c r="Y154" s="19">
        <f t="shared" si="153"/>
        <v>0</v>
      </c>
      <c r="Z154" s="19">
        <f t="shared" si="153"/>
        <v>0.49073771860073623</v>
      </c>
      <c r="AA154" s="19">
        <f t="shared" si="153"/>
        <v>0</v>
      </c>
      <c r="AB154" s="19">
        <f t="shared" si="153"/>
        <v>0</v>
      </c>
      <c r="AC154" s="86">
        <f t="shared" si="153"/>
        <v>6.6795099004681682E-2</v>
      </c>
      <c r="AD154" s="19">
        <f t="shared" si="153"/>
        <v>0</v>
      </c>
      <c r="AE154" s="19">
        <f t="shared" si="153"/>
        <v>0</v>
      </c>
      <c r="AF154" s="19">
        <f t="shared" si="153"/>
        <v>0</v>
      </c>
      <c r="AG154" s="19">
        <f t="shared" si="153"/>
        <v>0</v>
      </c>
      <c r="AH154" s="19">
        <f t="shared" si="153"/>
        <v>0</v>
      </c>
      <c r="AI154" s="19">
        <f t="shared" si="153"/>
        <v>0</v>
      </c>
      <c r="AJ154" s="19">
        <f t="shared" ref="AJ154:BP154" si="154">IF((AJ119-AJ121-AJ122-AJ53)=0,0,(ABS(AJ134)/(AJ119-AJ121-AJ122-AJ53)))</f>
        <v>0</v>
      </c>
      <c r="AK154" s="19">
        <f t="shared" si="154"/>
        <v>0</v>
      </c>
      <c r="AL154" s="19">
        <f t="shared" si="154"/>
        <v>0</v>
      </c>
      <c r="AM154" s="19">
        <f t="shared" si="154"/>
        <v>1.0986618343501915</v>
      </c>
      <c r="AN154" s="19">
        <f t="shared" si="154"/>
        <v>0</v>
      </c>
      <c r="AO154" s="19">
        <f t="shared" si="154"/>
        <v>0</v>
      </c>
      <c r="AP154" s="86">
        <f t="shared" si="154"/>
        <v>0.10784645409196143</v>
      </c>
      <c r="AQ154" s="87">
        <f t="shared" si="154"/>
        <v>0</v>
      </c>
      <c r="AR154" s="19">
        <f t="shared" si="154"/>
        <v>0</v>
      </c>
      <c r="AS154" s="19">
        <f t="shared" si="154"/>
        <v>0</v>
      </c>
      <c r="AT154" s="19">
        <f t="shared" si="154"/>
        <v>0</v>
      </c>
      <c r="AU154" s="19">
        <f t="shared" si="154"/>
        <v>0</v>
      </c>
      <c r="AV154" s="19">
        <f t="shared" si="154"/>
        <v>0</v>
      </c>
      <c r="AW154" s="19">
        <f t="shared" si="154"/>
        <v>0</v>
      </c>
      <c r="AX154" s="19">
        <f t="shared" si="154"/>
        <v>0</v>
      </c>
      <c r="AY154" s="19">
        <f t="shared" si="154"/>
        <v>0</v>
      </c>
      <c r="AZ154" s="19">
        <f t="shared" si="154"/>
        <v>0</v>
      </c>
      <c r="BA154" s="19">
        <f t="shared" si="154"/>
        <v>0</v>
      </c>
      <c r="BB154" s="19">
        <f t="shared" si="154"/>
        <v>0</v>
      </c>
      <c r="BC154" s="86">
        <f t="shared" si="154"/>
        <v>0</v>
      </c>
      <c r="BD154" s="19">
        <f t="shared" si="154"/>
        <v>0</v>
      </c>
      <c r="BE154" s="19">
        <f t="shared" si="154"/>
        <v>0</v>
      </c>
      <c r="BF154" s="19">
        <f t="shared" si="154"/>
        <v>0</v>
      </c>
      <c r="BG154" s="19">
        <f t="shared" si="154"/>
        <v>0</v>
      </c>
      <c r="BH154" s="19">
        <f t="shared" si="154"/>
        <v>0</v>
      </c>
      <c r="BI154" s="19">
        <f t="shared" si="154"/>
        <v>0</v>
      </c>
      <c r="BJ154" s="19">
        <f t="shared" si="154"/>
        <v>0</v>
      </c>
      <c r="BK154" s="19">
        <f t="shared" si="154"/>
        <v>0</v>
      </c>
      <c r="BL154" s="19">
        <f t="shared" si="154"/>
        <v>0</v>
      </c>
      <c r="BM154" s="19">
        <f t="shared" si="154"/>
        <v>0</v>
      </c>
      <c r="BN154" s="19">
        <f t="shared" si="154"/>
        <v>0</v>
      </c>
      <c r="BO154" s="19">
        <f t="shared" si="154"/>
        <v>0</v>
      </c>
      <c r="BP154" s="86">
        <f t="shared" si="154"/>
        <v>0</v>
      </c>
    </row>
    <row r="156" spans="1:68" s="20" customFormat="1" x14ac:dyDescent="0.25">
      <c r="A156" s="20" t="s">
        <v>184</v>
      </c>
      <c r="B156" s="88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90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90"/>
      <c r="AD156" s="89"/>
      <c r="AE156" s="89"/>
      <c r="AF156" s="89"/>
      <c r="AG156" s="89"/>
      <c r="AH156" s="89"/>
      <c r="AI156" s="89"/>
      <c r="AJ156" s="89"/>
      <c r="AK156" s="89"/>
      <c r="AL156" s="89"/>
      <c r="AM156" s="89"/>
      <c r="AN156" s="89"/>
      <c r="AO156" s="89"/>
      <c r="AP156" s="90"/>
      <c r="AQ156" s="89"/>
      <c r="AR156" s="89"/>
      <c r="AS156" s="89"/>
      <c r="AT156" s="89"/>
      <c r="AU156" s="89"/>
      <c r="AV156" s="89"/>
      <c r="AW156" s="89"/>
      <c r="AX156" s="89"/>
      <c r="AY156" s="89"/>
      <c r="AZ156" s="89"/>
      <c r="BA156" s="89"/>
      <c r="BB156" s="89"/>
      <c r="BC156" s="90"/>
      <c r="BD156" s="89"/>
      <c r="BE156" s="89"/>
      <c r="BF156" s="89"/>
      <c r="BG156" s="89"/>
      <c r="BH156" s="89"/>
      <c r="BI156" s="89"/>
      <c r="BJ156" s="89"/>
      <c r="BK156" s="89"/>
      <c r="BL156" s="89"/>
      <c r="BM156" s="89"/>
      <c r="BN156" s="89"/>
      <c r="BO156" s="89"/>
      <c r="BP156" s="90"/>
    </row>
    <row r="157" spans="1:68" x14ac:dyDescent="0.25">
      <c r="A157" t="s">
        <v>185</v>
      </c>
      <c r="B157" s="2" t="s">
        <v>186</v>
      </c>
      <c r="D157" s="3">
        <v>26250.25</v>
      </c>
      <c r="E157" s="3">
        <v>17556.09</v>
      </c>
      <c r="F157" s="3">
        <v>26213.62</v>
      </c>
      <c r="G157" s="3">
        <v>28190.81</v>
      </c>
      <c r="H157" s="3">
        <v>26027.74</v>
      </c>
      <c r="I157" s="3">
        <v>28843.86</v>
      </c>
      <c r="J157" s="3">
        <v>27639.23</v>
      </c>
      <c r="K157" s="3">
        <v>28289.89</v>
      </c>
      <c r="L157" s="3">
        <v>29063.47</v>
      </c>
      <c r="M157" s="3">
        <v>31927.82</v>
      </c>
      <c r="N157" s="3">
        <v>30565.47</v>
      </c>
      <c r="O157" s="3">
        <v>31302.48</v>
      </c>
      <c r="P157" s="4">
        <f>F157</f>
        <v>26213.62</v>
      </c>
      <c r="Q157" s="3">
        <v>26665.82</v>
      </c>
      <c r="R157" s="3">
        <v>30150.41</v>
      </c>
      <c r="S157" s="3">
        <v>30743.8</v>
      </c>
      <c r="T157" s="3">
        <v>32677.55</v>
      </c>
      <c r="U157" s="3">
        <v>29375.11</v>
      </c>
      <c r="V157" s="3">
        <v>31617.37</v>
      </c>
      <c r="W157" s="3">
        <v>31975.59</v>
      </c>
      <c r="X157" s="3">
        <v>28935.81</v>
      </c>
      <c r="Y157" s="3">
        <v>28497.63</v>
      </c>
      <c r="Z157" s="3">
        <v>34035.360000000001</v>
      </c>
      <c r="AA157" s="3">
        <v>28431.74</v>
      </c>
      <c r="AB157" s="3">
        <v>31839.21</v>
      </c>
      <c r="AC157" s="4">
        <f>S157</f>
        <v>30743.8</v>
      </c>
      <c r="AD157" s="3">
        <v>25191.43</v>
      </c>
      <c r="AE157" s="3">
        <v>40424.94</v>
      </c>
      <c r="AF157" s="3">
        <v>43560.959999999999</v>
      </c>
      <c r="AG157" s="3">
        <v>48025.4</v>
      </c>
      <c r="AH157" s="3">
        <v>36957.18</v>
      </c>
      <c r="AI157" s="3">
        <v>40429.1</v>
      </c>
      <c r="AJ157" s="3">
        <v>32566.68</v>
      </c>
      <c r="AK157" s="3">
        <v>29810.04</v>
      </c>
      <c r="AL157" s="3">
        <v>30718.82</v>
      </c>
      <c r="AM157" s="3">
        <v>32567.69</v>
      </c>
      <c r="AN157" s="3">
        <v>33700.74</v>
      </c>
      <c r="AO157" s="3">
        <v>27880</v>
      </c>
      <c r="AP157" s="4">
        <f>AF157</f>
        <v>43560.959999999999</v>
      </c>
      <c r="AQ157" s="5">
        <v>27880</v>
      </c>
      <c r="AR157" s="3">
        <v>27880</v>
      </c>
      <c r="AS157" s="3">
        <v>27880</v>
      </c>
      <c r="AT157" s="3">
        <v>27880</v>
      </c>
      <c r="AU157" s="3">
        <v>27880</v>
      </c>
      <c r="AV157" s="3">
        <v>27880</v>
      </c>
      <c r="AW157" s="3">
        <v>27880</v>
      </c>
      <c r="AX157" s="3">
        <v>27880</v>
      </c>
      <c r="AY157" s="3">
        <v>27880</v>
      </c>
      <c r="AZ157" s="3">
        <v>27880</v>
      </c>
      <c r="BA157" s="3">
        <v>27880</v>
      </c>
      <c r="BB157" s="3">
        <v>27880</v>
      </c>
      <c r="BC157" s="4">
        <f>AS157</f>
        <v>27880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4">
        <f>BF157</f>
        <v>0</v>
      </c>
    </row>
    <row r="158" spans="1:68" x14ac:dyDescent="0.25">
      <c r="A158" t="s">
        <v>187</v>
      </c>
      <c r="B158" s="2" t="s">
        <v>187</v>
      </c>
      <c r="D158" s="3">
        <v>13750.75</v>
      </c>
      <c r="E158" s="3">
        <v>13750.75</v>
      </c>
      <c r="F158" s="3">
        <v>17391.62</v>
      </c>
      <c r="G158" s="3">
        <v>26964.03</v>
      </c>
      <c r="H158" s="3">
        <v>30047.24</v>
      </c>
      <c r="I158" s="3">
        <v>43309.98</v>
      </c>
      <c r="J158" s="3">
        <v>51227.68</v>
      </c>
      <c r="K158" s="3">
        <v>61097.34</v>
      </c>
      <c r="L158" s="3">
        <v>73287.759999999995</v>
      </c>
      <c r="M158" s="3">
        <v>94071.23</v>
      </c>
      <c r="N158" s="3">
        <v>110767.63</v>
      </c>
      <c r="O158" s="3">
        <v>132537.07</v>
      </c>
      <c r="P158" s="4">
        <f>F158</f>
        <v>17391.62</v>
      </c>
      <c r="Q158" s="3">
        <v>137534.51999999999</v>
      </c>
      <c r="R158" s="3">
        <v>152985.76</v>
      </c>
      <c r="S158" s="3">
        <v>170217.16</v>
      </c>
      <c r="T158" s="3">
        <v>193249.82</v>
      </c>
      <c r="U158" s="3">
        <v>206375.16</v>
      </c>
      <c r="V158" s="3">
        <v>231045.91</v>
      </c>
      <c r="W158" s="3">
        <v>251972.68</v>
      </c>
      <c r="X158" s="3">
        <v>266785.03000000003</v>
      </c>
      <c r="Y158" s="3">
        <v>277277.90999999997</v>
      </c>
      <c r="Z158" s="3">
        <v>278089.82639</v>
      </c>
      <c r="AA158" s="3">
        <v>288385.03639000002</v>
      </c>
      <c r="AB158" s="3">
        <v>308902.65639000002</v>
      </c>
      <c r="AC158" s="4">
        <f>S158</f>
        <v>170217.16</v>
      </c>
      <c r="AD158" s="3">
        <v>309476.94639</v>
      </c>
      <c r="AE158" s="3">
        <v>312551.77639000001</v>
      </c>
      <c r="AF158" s="3">
        <v>325034.64639000001</v>
      </c>
      <c r="AG158" s="3">
        <v>350910.82639</v>
      </c>
      <c r="AH158" s="3">
        <v>356542.36638999998</v>
      </c>
      <c r="AI158" s="3">
        <v>385876.65639000002</v>
      </c>
      <c r="AJ158" s="3">
        <v>399936.69639</v>
      </c>
      <c r="AK158" s="3">
        <v>405726.80638999998</v>
      </c>
      <c r="AL158" s="3">
        <v>414243.25639</v>
      </c>
      <c r="AM158" s="3">
        <v>388122.30547999998</v>
      </c>
      <c r="AN158" s="3">
        <v>406502.12547999999</v>
      </c>
      <c r="AO158" s="3">
        <v>425769.04547999997</v>
      </c>
      <c r="AP158" s="4">
        <f>AF158</f>
        <v>325034.64639000001</v>
      </c>
      <c r="AQ158" s="5">
        <v>425769.04547999997</v>
      </c>
      <c r="AR158" s="3">
        <v>425769.04547999997</v>
      </c>
      <c r="AS158" s="3">
        <v>425769.04547999997</v>
      </c>
      <c r="AT158" s="3">
        <v>425769.04547999997</v>
      </c>
      <c r="AU158" s="3">
        <v>425769.04547999997</v>
      </c>
      <c r="AV158" s="3">
        <v>425769.04547999997</v>
      </c>
      <c r="AW158" s="3">
        <v>425769.04547999997</v>
      </c>
      <c r="AX158" s="3">
        <v>425769.04547999997</v>
      </c>
      <c r="AY158" s="3">
        <v>425769.04547999997</v>
      </c>
      <c r="AZ158" s="3">
        <v>425769.04547999997</v>
      </c>
      <c r="BA158" s="3">
        <v>425769.04547999997</v>
      </c>
      <c r="BB158" s="3">
        <v>425769.04547999997</v>
      </c>
      <c r="BC158" s="4">
        <f>AS158</f>
        <v>425769.04547999997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4">
        <f>BF158</f>
        <v>0</v>
      </c>
    </row>
    <row r="159" spans="1:68" s="21" customFormat="1" x14ac:dyDescent="0.25">
      <c r="A159" s="91" t="s">
        <v>188</v>
      </c>
      <c r="B159" s="92"/>
      <c r="C159" s="91"/>
      <c r="D159" s="93">
        <f t="shared" ref="D159:AI159" si="155">SUM(D157:D158)</f>
        <v>40001</v>
      </c>
      <c r="E159" s="93">
        <f t="shared" si="155"/>
        <v>31306.84</v>
      </c>
      <c r="F159" s="93">
        <f t="shared" si="155"/>
        <v>43605.24</v>
      </c>
      <c r="G159" s="93">
        <f t="shared" si="155"/>
        <v>55154.84</v>
      </c>
      <c r="H159" s="93">
        <f t="shared" si="155"/>
        <v>56074.98</v>
      </c>
      <c r="I159" s="93">
        <f t="shared" si="155"/>
        <v>72153.84</v>
      </c>
      <c r="J159" s="93">
        <f t="shared" si="155"/>
        <v>78866.91</v>
      </c>
      <c r="K159" s="93">
        <f t="shared" si="155"/>
        <v>89387.23</v>
      </c>
      <c r="L159" s="93">
        <f t="shared" si="155"/>
        <v>102351.23</v>
      </c>
      <c r="M159" s="93">
        <f t="shared" si="155"/>
        <v>125999.04999999999</v>
      </c>
      <c r="N159" s="93">
        <f t="shared" si="155"/>
        <v>141333.1</v>
      </c>
      <c r="O159" s="93">
        <f t="shared" si="155"/>
        <v>163839.55000000002</v>
      </c>
      <c r="P159" s="94">
        <f t="shared" si="155"/>
        <v>43605.24</v>
      </c>
      <c r="Q159" s="93">
        <f t="shared" si="155"/>
        <v>164200.34</v>
      </c>
      <c r="R159" s="93">
        <f t="shared" si="155"/>
        <v>183136.17</v>
      </c>
      <c r="S159" s="93">
        <f t="shared" si="155"/>
        <v>200960.96</v>
      </c>
      <c r="T159" s="93">
        <f t="shared" si="155"/>
        <v>225927.37</v>
      </c>
      <c r="U159" s="93">
        <f t="shared" si="155"/>
        <v>235750.27000000002</v>
      </c>
      <c r="V159" s="93">
        <f t="shared" si="155"/>
        <v>262663.28000000003</v>
      </c>
      <c r="W159" s="93">
        <f t="shared" si="155"/>
        <v>283948.27</v>
      </c>
      <c r="X159" s="93">
        <f t="shared" si="155"/>
        <v>295720.84000000003</v>
      </c>
      <c r="Y159" s="93">
        <f t="shared" si="155"/>
        <v>305775.53999999998</v>
      </c>
      <c r="Z159" s="93">
        <f t="shared" si="155"/>
        <v>312125.18638999999</v>
      </c>
      <c r="AA159" s="93">
        <f t="shared" si="155"/>
        <v>316816.77639000001</v>
      </c>
      <c r="AB159" s="93">
        <f t="shared" si="155"/>
        <v>340741.86639000004</v>
      </c>
      <c r="AC159" s="94">
        <f t="shared" si="155"/>
        <v>200960.96</v>
      </c>
      <c r="AD159" s="93">
        <f t="shared" si="155"/>
        <v>334668.37638999999</v>
      </c>
      <c r="AE159" s="93">
        <f t="shared" si="155"/>
        <v>352976.71639000002</v>
      </c>
      <c r="AF159" s="93">
        <f t="shared" si="155"/>
        <v>368595.60639000003</v>
      </c>
      <c r="AG159" s="93">
        <f t="shared" si="155"/>
        <v>398936.22639000003</v>
      </c>
      <c r="AH159" s="93">
        <f t="shared" si="155"/>
        <v>393499.54638999997</v>
      </c>
      <c r="AI159" s="93">
        <f t="shared" si="155"/>
        <v>426305.75639</v>
      </c>
      <c r="AJ159" s="93">
        <f t="shared" ref="AJ159:BO159" si="156">SUM(AJ157:AJ158)</f>
        <v>432503.37638999999</v>
      </c>
      <c r="AK159" s="93">
        <f t="shared" si="156"/>
        <v>435536.84638999996</v>
      </c>
      <c r="AL159" s="93">
        <f t="shared" si="156"/>
        <v>444962.07639</v>
      </c>
      <c r="AM159" s="93">
        <f t="shared" si="156"/>
        <v>420689.99547999998</v>
      </c>
      <c r="AN159" s="93">
        <f t="shared" si="156"/>
        <v>440202.86547999998</v>
      </c>
      <c r="AO159" s="93">
        <f t="shared" si="156"/>
        <v>453649.04547999997</v>
      </c>
      <c r="AP159" s="94">
        <f t="shared" si="156"/>
        <v>368595.60639000003</v>
      </c>
      <c r="AQ159" s="95">
        <f t="shared" si="156"/>
        <v>453649.04547999997</v>
      </c>
      <c r="AR159" s="93">
        <f t="shared" si="156"/>
        <v>453649.04547999997</v>
      </c>
      <c r="AS159" s="93">
        <f t="shared" si="156"/>
        <v>453649.04547999997</v>
      </c>
      <c r="AT159" s="93">
        <f t="shared" si="156"/>
        <v>453649.04547999997</v>
      </c>
      <c r="AU159" s="93">
        <f t="shared" si="156"/>
        <v>453649.04547999997</v>
      </c>
      <c r="AV159" s="93">
        <f t="shared" si="156"/>
        <v>453649.04547999997</v>
      </c>
      <c r="AW159" s="93">
        <f t="shared" si="156"/>
        <v>453649.04547999997</v>
      </c>
      <c r="AX159" s="93">
        <f t="shared" si="156"/>
        <v>453649.04547999997</v>
      </c>
      <c r="AY159" s="93">
        <f t="shared" si="156"/>
        <v>453649.04547999997</v>
      </c>
      <c r="AZ159" s="93">
        <f t="shared" si="156"/>
        <v>453649.04547999997</v>
      </c>
      <c r="BA159" s="93">
        <f t="shared" si="156"/>
        <v>453649.04547999997</v>
      </c>
      <c r="BB159" s="93">
        <f t="shared" si="156"/>
        <v>453649.04547999997</v>
      </c>
      <c r="BC159" s="94">
        <f t="shared" si="156"/>
        <v>453649.04547999997</v>
      </c>
      <c r="BD159" s="93">
        <f t="shared" si="156"/>
        <v>0</v>
      </c>
      <c r="BE159" s="93">
        <f t="shared" si="156"/>
        <v>0</v>
      </c>
      <c r="BF159" s="93">
        <f t="shared" si="156"/>
        <v>0</v>
      </c>
      <c r="BG159" s="93">
        <f t="shared" si="156"/>
        <v>0</v>
      </c>
      <c r="BH159" s="93">
        <f t="shared" si="156"/>
        <v>0</v>
      </c>
      <c r="BI159" s="93">
        <f t="shared" si="156"/>
        <v>0</v>
      </c>
      <c r="BJ159" s="93">
        <f t="shared" si="156"/>
        <v>0</v>
      </c>
      <c r="BK159" s="93">
        <f t="shared" si="156"/>
        <v>0</v>
      </c>
      <c r="BL159" s="93">
        <f t="shared" si="156"/>
        <v>0</v>
      </c>
      <c r="BM159" s="93">
        <f t="shared" si="156"/>
        <v>0</v>
      </c>
      <c r="BN159" s="93">
        <f t="shared" si="156"/>
        <v>0</v>
      </c>
      <c r="BO159" s="93">
        <f t="shared" si="156"/>
        <v>0</v>
      </c>
      <c r="BP159" s="94">
        <f t="shared" ref="BP159:CU159" si="157">SUM(BP157:BP158)</f>
        <v>0</v>
      </c>
    </row>
    <row r="161" spans="1:68" s="22" customFormat="1" x14ac:dyDescent="0.25">
      <c r="A161" s="22" t="s">
        <v>189</v>
      </c>
      <c r="B161" s="96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8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8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97"/>
      <c r="AO161" s="97"/>
      <c r="AP161" s="98"/>
      <c r="AQ161" s="97"/>
      <c r="AR161" s="97"/>
      <c r="AS161" s="97"/>
      <c r="AT161" s="97"/>
      <c r="AU161" s="97"/>
      <c r="AV161" s="97"/>
      <c r="AW161" s="97"/>
      <c r="AX161" s="97"/>
      <c r="AY161" s="97"/>
      <c r="AZ161" s="97"/>
      <c r="BA161" s="97"/>
      <c r="BB161" s="97"/>
      <c r="BC161" s="98"/>
      <c r="BD161" s="97"/>
      <c r="BE161" s="97"/>
      <c r="BF161" s="97"/>
      <c r="BG161" s="97"/>
      <c r="BH161" s="97"/>
      <c r="BI161" s="97"/>
      <c r="BJ161" s="97"/>
      <c r="BK161" s="97"/>
      <c r="BL161" s="97"/>
      <c r="BM161" s="97"/>
      <c r="BN161" s="97"/>
      <c r="BO161" s="97"/>
      <c r="BP161" s="98"/>
    </row>
    <row r="162" spans="1:68" s="24" customFormat="1" x14ac:dyDescent="0.25">
      <c r="A162" s="99" t="s">
        <v>190</v>
      </c>
      <c r="B162" s="100"/>
      <c r="C162" s="99"/>
      <c r="D162" s="101">
        <v>0</v>
      </c>
      <c r="E162" s="101">
        <v>0</v>
      </c>
      <c r="F162" s="101">
        <v>0</v>
      </c>
      <c r="G162" s="101">
        <v>5767.09</v>
      </c>
      <c r="H162" s="101">
        <v>0</v>
      </c>
      <c r="I162" s="101">
        <v>0</v>
      </c>
      <c r="J162" s="101">
        <v>9225.9</v>
      </c>
      <c r="K162" s="101">
        <v>0</v>
      </c>
      <c r="L162" s="101">
        <v>0</v>
      </c>
      <c r="M162" s="101">
        <v>7804.44</v>
      </c>
      <c r="N162" s="101">
        <v>0</v>
      </c>
      <c r="O162" s="101">
        <v>0</v>
      </c>
      <c r="P162" s="102">
        <f t="shared" ref="P162:P170" si="158">SUM(D162:O162)</f>
        <v>22797.43</v>
      </c>
      <c r="Q162" s="101">
        <v>15142.92</v>
      </c>
      <c r="R162" s="101">
        <v>0</v>
      </c>
      <c r="S162" s="101">
        <v>0</v>
      </c>
      <c r="T162" s="101">
        <v>11740.5</v>
      </c>
      <c r="U162" s="101">
        <v>0</v>
      </c>
      <c r="V162" s="101">
        <v>0</v>
      </c>
      <c r="W162" s="101">
        <v>10727.5</v>
      </c>
      <c r="X162" s="101">
        <v>0</v>
      </c>
      <c r="Y162" s="101">
        <v>0</v>
      </c>
      <c r="Z162" s="101">
        <v>10342.75</v>
      </c>
      <c r="AA162" s="101">
        <v>0</v>
      </c>
      <c r="AB162" s="101">
        <v>0</v>
      </c>
      <c r="AC162" s="102">
        <f t="shared" ref="AC162:AC170" si="159">SUM(Q162:AB162)</f>
        <v>47953.67</v>
      </c>
      <c r="AD162" s="101">
        <v>16743.63</v>
      </c>
      <c r="AE162" s="101">
        <v>0</v>
      </c>
      <c r="AF162" s="101">
        <v>0</v>
      </c>
      <c r="AG162" s="101">
        <v>11848.72</v>
      </c>
      <c r="AH162" s="101">
        <v>0</v>
      </c>
      <c r="AI162" s="101">
        <v>0</v>
      </c>
      <c r="AJ162" s="101">
        <v>16902.64</v>
      </c>
      <c r="AK162" s="101">
        <v>0</v>
      </c>
      <c r="AL162" s="101">
        <v>0</v>
      </c>
      <c r="AM162" s="101">
        <v>6239.5</v>
      </c>
      <c r="AN162" s="101">
        <v>0</v>
      </c>
      <c r="AO162" s="101">
        <v>0</v>
      </c>
      <c r="AP162" s="102">
        <f t="shared" ref="AP162:AP170" si="160">SUM(AD162:AO162)</f>
        <v>51734.49</v>
      </c>
      <c r="AQ162" s="103">
        <v>11641.34</v>
      </c>
      <c r="AR162" s="101">
        <v>0</v>
      </c>
      <c r="AS162" s="101">
        <v>0</v>
      </c>
      <c r="AT162" s="101">
        <v>16778.117999999999</v>
      </c>
      <c r="AU162" s="101">
        <v>0</v>
      </c>
      <c r="AV162" s="101">
        <v>0</v>
      </c>
      <c r="AW162" s="101">
        <v>6795.2879999999996</v>
      </c>
      <c r="AX162" s="101">
        <v>0</v>
      </c>
      <c r="AY162" s="101">
        <v>0</v>
      </c>
      <c r="AZ162" s="101">
        <v>0</v>
      </c>
      <c r="BA162" s="101">
        <v>0</v>
      </c>
      <c r="BB162" s="101">
        <v>0</v>
      </c>
      <c r="BC162" s="102">
        <f t="shared" ref="BC162:BC170" si="161">SUM(AQ162:BB162)</f>
        <v>35214.745999999999</v>
      </c>
      <c r="BD162" s="101">
        <v>0</v>
      </c>
      <c r="BE162" s="101">
        <v>0</v>
      </c>
      <c r="BF162" s="101">
        <v>0</v>
      </c>
      <c r="BG162" s="101">
        <v>0</v>
      </c>
      <c r="BH162" s="101">
        <v>0</v>
      </c>
      <c r="BI162" s="101">
        <v>0</v>
      </c>
      <c r="BJ162" s="101">
        <v>0</v>
      </c>
      <c r="BK162" s="101">
        <v>0</v>
      </c>
      <c r="BL162" s="101">
        <v>0</v>
      </c>
      <c r="BM162" s="101">
        <v>0</v>
      </c>
      <c r="BN162" s="101">
        <v>0</v>
      </c>
      <c r="BO162" s="101">
        <v>0</v>
      </c>
      <c r="BP162" s="102">
        <f t="shared" ref="BP162:BP170" si="162">SUM(BD162:BO162)</f>
        <v>0</v>
      </c>
    </row>
    <row r="163" spans="1:68" x14ac:dyDescent="0.25">
      <c r="A163" t="s">
        <v>191</v>
      </c>
      <c r="D163" s="3">
        <v>0</v>
      </c>
      <c r="E163" s="3">
        <v>0</v>
      </c>
      <c r="F163" s="3">
        <v>0</v>
      </c>
      <c r="G163" s="3">
        <v>-528.88</v>
      </c>
      <c r="H163" s="3">
        <v>0</v>
      </c>
      <c r="I163" s="3">
        <v>0</v>
      </c>
      <c r="J163" s="3">
        <v>-221.92</v>
      </c>
      <c r="K163" s="3">
        <v>0</v>
      </c>
      <c r="L163" s="3">
        <v>0</v>
      </c>
      <c r="M163" s="3">
        <v>-536.67999999999995</v>
      </c>
      <c r="N163" s="3">
        <v>0</v>
      </c>
      <c r="O163" s="3">
        <v>0</v>
      </c>
      <c r="P163" s="4">
        <f t="shared" si="158"/>
        <v>-1287.48</v>
      </c>
      <c r="Q163" s="3">
        <v>-1049.3499999999999</v>
      </c>
      <c r="R163" s="3">
        <v>0</v>
      </c>
      <c r="S163" s="3">
        <v>0</v>
      </c>
      <c r="T163" s="3">
        <v>-938</v>
      </c>
      <c r="U163" s="3">
        <v>0</v>
      </c>
      <c r="V163" s="3">
        <v>0</v>
      </c>
      <c r="W163" s="3">
        <v>-1231.79</v>
      </c>
      <c r="X163" s="3">
        <v>0</v>
      </c>
      <c r="Y163" s="3">
        <v>0</v>
      </c>
      <c r="Z163" s="3">
        <v>-610.1</v>
      </c>
      <c r="AA163" s="3">
        <v>0</v>
      </c>
      <c r="AB163" s="3">
        <v>0</v>
      </c>
      <c r="AC163" s="4">
        <f t="shared" si="159"/>
        <v>-3829.24</v>
      </c>
      <c r="AD163" s="3">
        <v>-926.51</v>
      </c>
      <c r="AE163" s="3">
        <v>0</v>
      </c>
      <c r="AF163" s="3">
        <v>0</v>
      </c>
      <c r="AG163" s="3">
        <v>-855.82</v>
      </c>
      <c r="AH163" s="3">
        <v>0</v>
      </c>
      <c r="AI163" s="3">
        <v>0</v>
      </c>
      <c r="AJ163" s="3">
        <v>-930.25</v>
      </c>
      <c r="AK163" s="3">
        <v>0</v>
      </c>
      <c r="AL163" s="3">
        <v>0</v>
      </c>
      <c r="AM163" s="3">
        <v>-455.67</v>
      </c>
      <c r="AN163" s="3">
        <v>0</v>
      </c>
      <c r="AO163" s="3">
        <v>0</v>
      </c>
      <c r="AP163" s="4">
        <f t="shared" si="160"/>
        <v>-3168.25</v>
      </c>
      <c r="AQ163" s="5">
        <v>-1105.67</v>
      </c>
      <c r="AR163" s="3">
        <v>0</v>
      </c>
      <c r="AS163" s="3">
        <v>0</v>
      </c>
      <c r="AT163" s="3">
        <v>-912.73961999999995</v>
      </c>
      <c r="AU163" s="3">
        <v>0</v>
      </c>
      <c r="AV163" s="3">
        <v>0</v>
      </c>
      <c r="AW163" s="3">
        <v>-335.10786999999999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4">
        <f t="shared" si="161"/>
        <v>-2353.5174899999997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4">
        <f t="shared" si="162"/>
        <v>0</v>
      </c>
    </row>
    <row r="164" spans="1:68" x14ac:dyDescent="0.25">
      <c r="A164" t="s">
        <v>192</v>
      </c>
      <c r="D164" s="3">
        <v>0</v>
      </c>
      <c r="E164" s="3">
        <v>0</v>
      </c>
      <c r="F164" s="3">
        <v>0</v>
      </c>
      <c r="G164" s="3">
        <v>5238.1899999999996</v>
      </c>
      <c r="H164" s="3">
        <v>0</v>
      </c>
      <c r="I164" s="3">
        <v>0</v>
      </c>
      <c r="J164" s="3">
        <v>9003.9599999999991</v>
      </c>
      <c r="K164" s="3">
        <v>0</v>
      </c>
      <c r="L164" s="3">
        <v>0</v>
      </c>
      <c r="M164" s="3">
        <v>7267.77</v>
      </c>
      <c r="N164" s="3">
        <v>0</v>
      </c>
      <c r="O164" s="3">
        <v>0</v>
      </c>
      <c r="P164" s="4">
        <f t="shared" si="158"/>
        <v>21509.919999999998</v>
      </c>
      <c r="Q164" s="3">
        <v>14093.58</v>
      </c>
      <c r="R164" s="3">
        <v>0</v>
      </c>
      <c r="S164" s="3">
        <v>0</v>
      </c>
      <c r="T164" s="3">
        <v>10802.51</v>
      </c>
      <c r="U164" s="3">
        <v>0</v>
      </c>
      <c r="V164" s="3">
        <v>0</v>
      </c>
      <c r="W164" s="3">
        <v>9495.69</v>
      </c>
      <c r="X164" s="3">
        <v>0</v>
      </c>
      <c r="Y164" s="3">
        <v>0</v>
      </c>
      <c r="Z164" s="3">
        <v>9732.65</v>
      </c>
      <c r="AA164" s="3">
        <v>0</v>
      </c>
      <c r="AB164" s="3">
        <v>0</v>
      </c>
      <c r="AC164" s="4">
        <f t="shared" si="159"/>
        <v>44124.43</v>
      </c>
      <c r="AD164" s="3">
        <v>15817.13</v>
      </c>
      <c r="AE164" s="3">
        <v>0</v>
      </c>
      <c r="AF164" s="3">
        <v>0</v>
      </c>
      <c r="AG164" s="3">
        <v>10992.9</v>
      </c>
      <c r="AH164" s="3">
        <v>0</v>
      </c>
      <c r="AI164" s="3">
        <v>0</v>
      </c>
      <c r="AJ164" s="3">
        <v>15972.37</v>
      </c>
      <c r="AK164" s="3">
        <v>0</v>
      </c>
      <c r="AL164" s="3">
        <v>0</v>
      </c>
      <c r="AM164" s="3">
        <v>5783.83</v>
      </c>
      <c r="AN164" s="3">
        <v>0</v>
      </c>
      <c r="AO164" s="3">
        <v>0</v>
      </c>
      <c r="AP164" s="4">
        <f t="shared" si="160"/>
        <v>48566.23</v>
      </c>
      <c r="AQ164" s="5">
        <v>10535.65</v>
      </c>
      <c r="AR164" s="3">
        <v>0</v>
      </c>
      <c r="AS164" s="3">
        <v>0</v>
      </c>
      <c r="AT164" s="3">
        <v>15865.37838</v>
      </c>
      <c r="AU164" s="3">
        <v>0</v>
      </c>
      <c r="AV164" s="3">
        <v>0</v>
      </c>
      <c r="AW164" s="3">
        <v>6460.1801299999997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4">
        <f t="shared" si="161"/>
        <v>32861.208509999997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4">
        <f t="shared" si="162"/>
        <v>0</v>
      </c>
    </row>
    <row r="165" spans="1:68" x14ac:dyDescent="0.25">
      <c r="A165" t="s">
        <v>193</v>
      </c>
      <c r="D165" s="3">
        <v>0</v>
      </c>
      <c r="E165" s="3">
        <v>0</v>
      </c>
      <c r="F165" s="3">
        <v>0</v>
      </c>
      <c r="G165" s="3">
        <v>-1644.17</v>
      </c>
      <c r="H165" s="3">
        <v>0</v>
      </c>
      <c r="I165" s="3">
        <v>0</v>
      </c>
      <c r="J165" s="3">
        <v>-2138.1999999999998</v>
      </c>
      <c r="K165" s="3">
        <v>0</v>
      </c>
      <c r="L165" s="3">
        <v>0</v>
      </c>
      <c r="M165" s="3">
        <v>-1917.44</v>
      </c>
      <c r="N165" s="3">
        <v>0</v>
      </c>
      <c r="O165" s="3">
        <v>0</v>
      </c>
      <c r="P165" s="4">
        <f t="shared" si="158"/>
        <v>-5699.8099999999995</v>
      </c>
      <c r="Q165" s="3">
        <v>-4315.33</v>
      </c>
      <c r="R165" s="3">
        <v>0</v>
      </c>
      <c r="S165" s="3">
        <v>0</v>
      </c>
      <c r="T165" s="3">
        <v>-2772.14</v>
      </c>
      <c r="U165" s="3">
        <v>0</v>
      </c>
      <c r="V165" s="3">
        <v>0</v>
      </c>
      <c r="W165" s="3">
        <v>-3379.09</v>
      </c>
      <c r="X165" s="3">
        <v>0</v>
      </c>
      <c r="Y165" s="3">
        <v>0</v>
      </c>
      <c r="Z165" s="3">
        <v>-2329.06</v>
      </c>
      <c r="AA165" s="3">
        <v>0</v>
      </c>
      <c r="AB165" s="3">
        <v>0</v>
      </c>
      <c r="AC165" s="4">
        <f t="shared" si="159"/>
        <v>-12795.619999999999</v>
      </c>
      <c r="AD165" s="3">
        <v>-3293.45</v>
      </c>
      <c r="AE165" s="3">
        <v>0</v>
      </c>
      <c r="AF165" s="3">
        <v>0</v>
      </c>
      <c r="AG165" s="3">
        <v>-2530.75</v>
      </c>
      <c r="AH165" s="3">
        <v>0</v>
      </c>
      <c r="AI165" s="3">
        <v>0</v>
      </c>
      <c r="AJ165" s="3">
        <v>-4000.63</v>
      </c>
      <c r="AK165" s="3">
        <v>0</v>
      </c>
      <c r="AL165" s="3">
        <v>0</v>
      </c>
      <c r="AM165" s="3">
        <v>-3223.38</v>
      </c>
      <c r="AN165" s="3">
        <v>0</v>
      </c>
      <c r="AO165" s="3">
        <v>0</v>
      </c>
      <c r="AP165" s="4">
        <f t="shared" si="160"/>
        <v>-13048.21</v>
      </c>
      <c r="AQ165" s="5">
        <v>-4953.3999999999996</v>
      </c>
      <c r="AR165" s="3">
        <v>0</v>
      </c>
      <c r="AS165" s="3">
        <v>0</v>
      </c>
      <c r="AT165" s="3">
        <v>-4310.3016600000001</v>
      </c>
      <c r="AU165" s="3">
        <v>0</v>
      </c>
      <c r="AV165" s="3">
        <v>0</v>
      </c>
      <c r="AW165" s="3">
        <v>-1972.9588100000001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4">
        <f t="shared" si="161"/>
        <v>-11236.660469999999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4">
        <f t="shared" si="162"/>
        <v>0</v>
      </c>
    </row>
    <row r="166" spans="1:68" x14ac:dyDescent="0.25">
      <c r="A166" t="s">
        <v>194</v>
      </c>
      <c r="D166" s="3">
        <v>0</v>
      </c>
      <c r="E166" s="3">
        <v>0</v>
      </c>
      <c r="F166" s="3">
        <v>0</v>
      </c>
      <c r="G166" s="3">
        <v>28835.45</v>
      </c>
      <c r="H166" s="3">
        <v>0</v>
      </c>
      <c r="I166" s="3">
        <v>0</v>
      </c>
      <c r="J166" s="3">
        <v>46129.53</v>
      </c>
      <c r="K166" s="3">
        <v>0</v>
      </c>
      <c r="L166" s="3">
        <v>0</v>
      </c>
      <c r="M166" s="3">
        <v>39022.199999999997</v>
      </c>
      <c r="N166" s="3">
        <v>0</v>
      </c>
      <c r="O166" s="3">
        <v>0</v>
      </c>
      <c r="P166" s="4">
        <f t="shared" si="158"/>
        <v>113987.18</v>
      </c>
      <c r="Q166" s="3">
        <v>75714.66</v>
      </c>
      <c r="R166" s="3">
        <v>0</v>
      </c>
      <c r="S166" s="3">
        <v>0</v>
      </c>
      <c r="T166" s="3">
        <v>58702.44</v>
      </c>
      <c r="U166" s="3">
        <v>0</v>
      </c>
      <c r="V166" s="3">
        <v>0</v>
      </c>
      <c r="W166" s="3">
        <v>53637.47</v>
      </c>
      <c r="X166" s="3">
        <v>0</v>
      </c>
      <c r="Y166" s="3">
        <v>0</v>
      </c>
      <c r="Z166" s="3">
        <v>51713.75</v>
      </c>
      <c r="AA166" s="3">
        <v>0</v>
      </c>
      <c r="AB166" s="3">
        <v>0</v>
      </c>
      <c r="AC166" s="4">
        <f t="shared" si="159"/>
        <v>239768.32000000001</v>
      </c>
      <c r="AD166" s="3">
        <v>83718.16</v>
      </c>
      <c r="AE166" s="3">
        <v>0</v>
      </c>
      <c r="AF166" s="3">
        <v>0</v>
      </c>
      <c r="AG166" s="3">
        <v>59243.595000000001</v>
      </c>
      <c r="AH166" s="3">
        <v>0</v>
      </c>
      <c r="AI166" s="3">
        <v>0</v>
      </c>
      <c r="AJ166" s="3">
        <v>84513.2</v>
      </c>
      <c r="AK166" s="3">
        <v>0</v>
      </c>
      <c r="AL166" s="3">
        <v>0</v>
      </c>
      <c r="AM166" s="3">
        <v>31197.49</v>
      </c>
      <c r="AN166" s="3">
        <v>0</v>
      </c>
      <c r="AO166" s="3">
        <v>0</v>
      </c>
      <c r="AP166" s="4">
        <f t="shared" si="160"/>
        <v>258672.44500000001</v>
      </c>
      <c r="AQ166" s="5">
        <v>58206.7</v>
      </c>
      <c r="AR166" s="3">
        <v>0</v>
      </c>
      <c r="AS166" s="3">
        <v>0</v>
      </c>
      <c r="AT166" s="3">
        <v>83890.59</v>
      </c>
      <c r="AU166" s="3">
        <v>0</v>
      </c>
      <c r="AV166" s="3">
        <v>0</v>
      </c>
      <c r="AW166" s="3">
        <v>33976.44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4">
        <f t="shared" si="161"/>
        <v>176073.72999999998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4">
        <f t="shared" si="162"/>
        <v>0</v>
      </c>
    </row>
    <row r="167" spans="1:68" x14ac:dyDescent="0.25">
      <c r="A167" t="s">
        <v>195</v>
      </c>
      <c r="D167" s="3">
        <v>0</v>
      </c>
      <c r="E167" s="3">
        <v>0</v>
      </c>
      <c r="F167" s="3">
        <v>0</v>
      </c>
      <c r="G167" s="3">
        <v>8576.8897199999992</v>
      </c>
      <c r="H167" s="3">
        <v>0</v>
      </c>
      <c r="I167" s="3">
        <v>0</v>
      </c>
      <c r="J167" s="3">
        <v>11129.12104</v>
      </c>
      <c r="K167" s="3">
        <v>0</v>
      </c>
      <c r="L167" s="3">
        <v>0</v>
      </c>
      <c r="M167" s="3">
        <v>10000.205</v>
      </c>
      <c r="N167" s="3">
        <v>0</v>
      </c>
      <c r="O167" s="3">
        <v>0</v>
      </c>
      <c r="P167" s="4">
        <f t="shared" si="158"/>
        <v>29706.215759999999</v>
      </c>
      <c r="Q167" s="3">
        <v>21940.76208</v>
      </c>
      <c r="R167" s="3">
        <v>0</v>
      </c>
      <c r="S167" s="3">
        <v>0</v>
      </c>
      <c r="T167" s="3">
        <v>14099.803040000001</v>
      </c>
      <c r="U167" s="3">
        <v>0</v>
      </c>
      <c r="V167" s="3">
        <v>0</v>
      </c>
      <c r="W167" s="3">
        <v>17230.369159999998</v>
      </c>
      <c r="X167" s="3">
        <v>0</v>
      </c>
      <c r="Y167" s="3">
        <v>0</v>
      </c>
      <c r="Z167" s="3">
        <v>12129.40648</v>
      </c>
      <c r="AA167" s="3">
        <v>0</v>
      </c>
      <c r="AB167" s="3">
        <v>0</v>
      </c>
      <c r="AC167" s="4">
        <f t="shared" si="159"/>
        <v>65400.340759999999</v>
      </c>
      <c r="AD167" s="3">
        <v>16893.16704</v>
      </c>
      <c r="AE167" s="3">
        <v>0</v>
      </c>
      <c r="AF167" s="3">
        <v>0</v>
      </c>
      <c r="AG167" s="3">
        <v>13040.78656</v>
      </c>
      <c r="AH167" s="3">
        <v>0</v>
      </c>
      <c r="AI167" s="3">
        <v>0</v>
      </c>
      <c r="AJ167" s="3">
        <v>20225.128000000001</v>
      </c>
      <c r="AK167" s="3">
        <v>0</v>
      </c>
      <c r="AL167" s="3">
        <v>0</v>
      </c>
      <c r="AM167" s="3">
        <v>16442.817159999999</v>
      </c>
      <c r="AN167" s="3">
        <v>0</v>
      </c>
      <c r="AO167" s="3">
        <v>0</v>
      </c>
      <c r="AP167" s="4">
        <f t="shared" si="160"/>
        <v>66601.898760000011</v>
      </c>
      <c r="AQ167" s="5">
        <v>25016.957320000001</v>
      </c>
      <c r="AR167" s="3">
        <v>0</v>
      </c>
      <c r="AS167" s="3">
        <v>0</v>
      </c>
      <c r="AT167" s="3">
        <v>12424.11204</v>
      </c>
      <c r="AU167" s="3">
        <v>0</v>
      </c>
      <c r="AV167" s="3">
        <v>0</v>
      </c>
      <c r="AW167" s="3">
        <v>6513.7153600000001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4">
        <f t="shared" si="161"/>
        <v>43954.784720000003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4">
        <f t="shared" si="162"/>
        <v>0</v>
      </c>
    </row>
    <row r="168" spans="1:68" x14ac:dyDescent="0.25">
      <c r="A168" t="s">
        <v>196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4">
        <f t="shared" si="158"/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4">
        <f t="shared" si="159"/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4">
        <f t="shared" si="160"/>
        <v>0</v>
      </c>
      <c r="AQ168" s="5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4">
        <f t="shared" si="161"/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4">
        <f t="shared" si="162"/>
        <v>0</v>
      </c>
    </row>
    <row r="169" spans="1:68" x14ac:dyDescent="0.25">
      <c r="A169" t="s">
        <v>197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4">
        <f t="shared" si="158"/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4">
        <f t="shared" si="159"/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4">
        <f t="shared" si="160"/>
        <v>0</v>
      </c>
      <c r="AQ169" s="5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4">
        <f t="shared" si="161"/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4">
        <f t="shared" si="162"/>
        <v>0</v>
      </c>
    </row>
    <row r="170" spans="1:68" s="23" customFormat="1" x14ac:dyDescent="0.25">
      <c r="A170" s="104" t="s">
        <v>198</v>
      </c>
      <c r="B170" s="105"/>
      <c r="C170" s="104"/>
      <c r="D170" s="106">
        <v>0</v>
      </c>
      <c r="E170" s="106">
        <v>0</v>
      </c>
      <c r="F170" s="106">
        <v>0</v>
      </c>
      <c r="G170" s="106">
        <v>4122.8999999999996</v>
      </c>
      <c r="H170" s="106">
        <v>0</v>
      </c>
      <c r="I170" s="106">
        <v>0</v>
      </c>
      <c r="J170" s="106">
        <v>7087.68</v>
      </c>
      <c r="K170" s="106">
        <v>0</v>
      </c>
      <c r="L170" s="106">
        <v>0</v>
      </c>
      <c r="M170" s="106">
        <v>5887.01</v>
      </c>
      <c r="N170" s="106">
        <v>0</v>
      </c>
      <c r="O170" s="106">
        <v>0</v>
      </c>
      <c r="P170" s="58">
        <f t="shared" si="158"/>
        <v>17097.59</v>
      </c>
      <c r="Q170" s="106">
        <v>10827.6</v>
      </c>
      <c r="R170" s="106">
        <v>0</v>
      </c>
      <c r="S170" s="106">
        <v>0</v>
      </c>
      <c r="T170" s="106">
        <v>8968.3700000000008</v>
      </c>
      <c r="U170" s="106">
        <v>0</v>
      </c>
      <c r="V170" s="106">
        <v>0</v>
      </c>
      <c r="W170" s="106">
        <v>7348.39</v>
      </c>
      <c r="X170" s="106">
        <v>0</v>
      </c>
      <c r="Y170" s="106">
        <v>0</v>
      </c>
      <c r="Z170" s="106">
        <v>8013.69</v>
      </c>
      <c r="AA170" s="106">
        <v>0</v>
      </c>
      <c r="AB170" s="106">
        <v>0</v>
      </c>
      <c r="AC170" s="58">
        <f t="shared" si="159"/>
        <v>35158.050000000003</v>
      </c>
      <c r="AD170" s="106">
        <v>13450.19</v>
      </c>
      <c r="AE170" s="106">
        <v>0</v>
      </c>
      <c r="AF170" s="106">
        <v>0</v>
      </c>
      <c r="AG170" s="106">
        <v>9317.9699999999993</v>
      </c>
      <c r="AH170" s="106">
        <v>0</v>
      </c>
      <c r="AI170" s="106">
        <v>0</v>
      </c>
      <c r="AJ170" s="106">
        <v>12901.99</v>
      </c>
      <c r="AK170" s="106">
        <v>0</v>
      </c>
      <c r="AL170" s="106">
        <v>0</v>
      </c>
      <c r="AM170" s="106">
        <v>3016.12</v>
      </c>
      <c r="AN170" s="106">
        <v>0</v>
      </c>
      <c r="AO170" s="106">
        <v>0</v>
      </c>
      <c r="AP170" s="58">
        <f t="shared" si="160"/>
        <v>38686.270000000004</v>
      </c>
      <c r="AQ170" s="107">
        <v>6687.92</v>
      </c>
      <c r="AR170" s="106">
        <v>0</v>
      </c>
      <c r="AS170" s="106">
        <v>0</v>
      </c>
      <c r="AT170" s="106">
        <v>12467.816339999999</v>
      </c>
      <c r="AU170" s="106">
        <v>0</v>
      </c>
      <c r="AV170" s="106">
        <v>0</v>
      </c>
      <c r="AW170" s="106">
        <v>4822.3291900000004</v>
      </c>
      <c r="AX170" s="106">
        <v>0</v>
      </c>
      <c r="AY170" s="106">
        <v>0</v>
      </c>
      <c r="AZ170" s="106">
        <v>0</v>
      </c>
      <c r="BA170" s="106">
        <v>0</v>
      </c>
      <c r="BB170" s="106">
        <v>0</v>
      </c>
      <c r="BC170" s="58">
        <f t="shared" si="161"/>
        <v>23978.06553</v>
      </c>
      <c r="BD170" s="106">
        <v>0</v>
      </c>
      <c r="BE170" s="106">
        <v>0</v>
      </c>
      <c r="BF170" s="106">
        <v>0</v>
      </c>
      <c r="BG170" s="106">
        <v>0</v>
      </c>
      <c r="BH170" s="106">
        <v>0</v>
      </c>
      <c r="BI170" s="106">
        <v>0</v>
      </c>
      <c r="BJ170" s="106">
        <v>0</v>
      </c>
      <c r="BK170" s="106">
        <v>0</v>
      </c>
      <c r="BL170" s="106">
        <v>0</v>
      </c>
      <c r="BM170" s="106">
        <v>0</v>
      </c>
      <c r="BN170" s="106">
        <v>0</v>
      </c>
      <c r="BO170" s="106">
        <v>0</v>
      </c>
      <c r="BP170" s="58">
        <f t="shared" si="162"/>
        <v>0</v>
      </c>
    </row>
    <row r="172" spans="1:68" s="22" customFormat="1" x14ac:dyDescent="0.25">
      <c r="A172" s="22" t="s">
        <v>199</v>
      </c>
      <c r="B172" s="96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8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8"/>
      <c r="AD172" s="97"/>
      <c r="AE172" s="97"/>
      <c r="AF172" s="97"/>
      <c r="AG172" s="97"/>
      <c r="AH172" s="97"/>
      <c r="AI172" s="97"/>
      <c r="AJ172" s="97"/>
      <c r="AK172" s="97"/>
      <c r="AL172" s="97"/>
      <c r="AM172" s="97"/>
      <c r="AN172" s="97"/>
      <c r="AO172" s="97"/>
      <c r="AP172" s="98"/>
      <c r="AQ172" s="97"/>
      <c r="AR172" s="97"/>
      <c r="AS172" s="97"/>
      <c r="AT172" s="97"/>
      <c r="AU172" s="97"/>
      <c r="AV172" s="97"/>
      <c r="AW172" s="97"/>
      <c r="AX172" s="97"/>
      <c r="AY172" s="97"/>
      <c r="AZ172" s="97"/>
      <c r="BA172" s="97"/>
      <c r="BB172" s="97"/>
      <c r="BC172" s="98"/>
      <c r="BD172" s="97"/>
      <c r="BE172" s="97"/>
      <c r="BF172" s="97"/>
      <c r="BG172" s="97"/>
      <c r="BH172" s="97"/>
      <c r="BI172" s="97"/>
      <c r="BJ172" s="97"/>
      <c r="BK172" s="97"/>
      <c r="BL172" s="97"/>
      <c r="BM172" s="97"/>
      <c r="BN172" s="97"/>
      <c r="BO172" s="97"/>
      <c r="BP172" s="98"/>
    </row>
    <row r="173" spans="1:68" s="24" customFormat="1" x14ac:dyDescent="0.25">
      <c r="A173" s="99" t="s">
        <v>190</v>
      </c>
      <c r="B173" s="100"/>
      <c r="C173" s="99"/>
      <c r="D173" s="101">
        <v>0</v>
      </c>
      <c r="E173" s="101">
        <v>1823.09</v>
      </c>
      <c r="F173" s="101">
        <v>3944</v>
      </c>
      <c r="G173" s="101">
        <v>3357.11</v>
      </c>
      <c r="H173" s="101">
        <v>1180.55</v>
      </c>
      <c r="I173" s="101">
        <v>4688.24</v>
      </c>
      <c r="J173" s="101">
        <v>8</v>
      </c>
      <c r="K173" s="101">
        <v>5057.58</v>
      </c>
      <c r="L173" s="101">
        <v>2738.86</v>
      </c>
      <c r="M173" s="101">
        <v>6372.71</v>
      </c>
      <c r="N173" s="101">
        <v>5350.6</v>
      </c>
      <c r="O173" s="101">
        <v>3419.61</v>
      </c>
      <c r="P173" s="102">
        <f t="shared" ref="P173:P181" si="163">SUM(D173:O173)</f>
        <v>37940.35</v>
      </c>
      <c r="Q173" s="101">
        <v>18.5</v>
      </c>
      <c r="R173" s="101">
        <v>8374.48</v>
      </c>
      <c r="S173" s="101">
        <v>3347.52</v>
      </c>
      <c r="T173" s="101">
        <v>4090.31</v>
      </c>
      <c r="U173" s="101">
        <v>963.34</v>
      </c>
      <c r="V173" s="101">
        <v>5673.85</v>
      </c>
      <c r="W173" s="101">
        <v>4106.6499999999996</v>
      </c>
      <c r="X173" s="101">
        <v>4890.95</v>
      </c>
      <c r="Y173" s="101">
        <v>1345.15</v>
      </c>
      <c r="Z173" s="101">
        <v>8523.07</v>
      </c>
      <c r="AA173" s="101">
        <v>2074.4699999999998</v>
      </c>
      <c r="AB173" s="101">
        <v>6146.09</v>
      </c>
      <c r="AC173" s="102">
        <f t="shared" ref="AC173:AC181" si="164">SUM(Q173:AB173)</f>
        <v>49554.380000000005</v>
      </c>
      <c r="AD173" s="101">
        <v>2125.39</v>
      </c>
      <c r="AE173" s="101">
        <v>6808.89</v>
      </c>
      <c r="AF173" s="101">
        <v>2914.44</v>
      </c>
      <c r="AG173" s="101">
        <v>7908.74</v>
      </c>
      <c r="AH173" s="101">
        <v>1425.71</v>
      </c>
      <c r="AI173" s="101">
        <v>7568.19</v>
      </c>
      <c r="AJ173" s="101">
        <v>1838.99</v>
      </c>
      <c r="AK173" s="101">
        <v>4381.34</v>
      </c>
      <c r="AL173" s="101">
        <v>19.170000000000002</v>
      </c>
      <c r="AM173" s="101">
        <v>1727.09</v>
      </c>
      <c r="AN173" s="101">
        <v>4754.79</v>
      </c>
      <c r="AO173" s="101">
        <v>5159.46</v>
      </c>
      <c r="AP173" s="102">
        <f t="shared" ref="AP173:AP181" si="165">SUM(AD173:AO173)</f>
        <v>46632.2</v>
      </c>
      <c r="AQ173" s="103">
        <v>10061.879999999999</v>
      </c>
      <c r="AR173" s="101">
        <v>4746.4740000000002</v>
      </c>
      <c r="AS173" s="101">
        <v>1969.7639999999999</v>
      </c>
      <c r="AT173" s="101">
        <v>6795.2879999999996</v>
      </c>
      <c r="AU173" s="101">
        <v>0</v>
      </c>
      <c r="AV173" s="101">
        <v>0</v>
      </c>
      <c r="AW173" s="101">
        <v>0</v>
      </c>
      <c r="AX173" s="101">
        <v>0</v>
      </c>
      <c r="AY173" s="101">
        <v>0</v>
      </c>
      <c r="AZ173" s="101">
        <v>0</v>
      </c>
      <c r="BA173" s="101">
        <v>0</v>
      </c>
      <c r="BB173" s="101">
        <v>0</v>
      </c>
      <c r="BC173" s="102">
        <f t="shared" ref="BC173:BC181" si="166">SUM(AQ173:BB173)</f>
        <v>23573.405999999999</v>
      </c>
      <c r="BD173" s="101">
        <v>0</v>
      </c>
      <c r="BE173" s="101">
        <v>0</v>
      </c>
      <c r="BF173" s="101">
        <v>0</v>
      </c>
      <c r="BG173" s="101">
        <v>0</v>
      </c>
      <c r="BH173" s="101">
        <v>0</v>
      </c>
      <c r="BI173" s="101">
        <v>0</v>
      </c>
      <c r="BJ173" s="101">
        <v>0</v>
      </c>
      <c r="BK173" s="101">
        <v>0</v>
      </c>
      <c r="BL173" s="101">
        <v>0</v>
      </c>
      <c r="BM173" s="101">
        <v>0</v>
      </c>
      <c r="BN173" s="101">
        <v>0</v>
      </c>
      <c r="BO173" s="101">
        <v>0</v>
      </c>
      <c r="BP173" s="102">
        <f t="shared" ref="BP173:BP181" si="167">SUM(BD173:BO173)</f>
        <v>0</v>
      </c>
    </row>
    <row r="174" spans="1:68" x14ac:dyDescent="0.25">
      <c r="A174" t="s">
        <v>191</v>
      </c>
      <c r="D174" s="3">
        <v>0</v>
      </c>
      <c r="E174" s="3">
        <v>-174.07</v>
      </c>
      <c r="F174" s="3">
        <v>-354.81</v>
      </c>
      <c r="G174" s="3">
        <v>-114.37</v>
      </c>
      <c r="H174" s="3">
        <v>-73.98</v>
      </c>
      <c r="I174" s="3">
        <v>-33.57</v>
      </c>
      <c r="J174" s="3">
        <v>-105.91</v>
      </c>
      <c r="K174" s="3">
        <v>-235.59</v>
      </c>
      <c r="L174" s="3">
        <v>-195.18</v>
      </c>
      <c r="M174" s="3">
        <v>-154.78</v>
      </c>
      <c r="N174" s="3">
        <v>-521.15</v>
      </c>
      <c r="O174" s="3">
        <v>-373.42</v>
      </c>
      <c r="P174" s="4">
        <f t="shared" si="163"/>
        <v>-2336.83</v>
      </c>
      <c r="Q174" s="3">
        <v>-229.25</v>
      </c>
      <c r="R174" s="3">
        <v>-407.78</v>
      </c>
      <c r="S174" s="3">
        <v>-300.97000000000003</v>
      </c>
      <c r="T174" s="3">
        <v>-448.07</v>
      </c>
      <c r="U174" s="3">
        <v>-481.96</v>
      </c>
      <c r="V174" s="3">
        <v>-301.76</v>
      </c>
      <c r="W174" s="3">
        <v>-448.82</v>
      </c>
      <c r="X174" s="3">
        <v>-15.3</v>
      </c>
      <c r="Y174" s="3">
        <v>-145.97999999999999</v>
      </c>
      <c r="Z174" s="3">
        <v>-537.79</v>
      </c>
      <c r="AA174" s="3">
        <v>-145.31</v>
      </c>
      <c r="AB174" s="3">
        <v>-243.41</v>
      </c>
      <c r="AC174" s="4">
        <f t="shared" si="164"/>
        <v>-3706.4</v>
      </c>
      <c r="AD174" s="3">
        <v>-465.34</v>
      </c>
      <c r="AE174" s="3">
        <v>-72.88</v>
      </c>
      <c r="AF174" s="3">
        <v>-317.60000000000002</v>
      </c>
      <c r="AG174" s="3">
        <v>-466.11</v>
      </c>
      <c r="AH174" s="3">
        <v>-73.650000000000006</v>
      </c>
      <c r="AI174" s="3">
        <v>-390.49</v>
      </c>
      <c r="AJ174" s="3">
        <v>-201.36</v>
      </c>
      <c r="AK174" s="3">
        <v>-53.62</v>
      </c>
      <c r="AL174" s="3">
        <v>-200.69</v>
      </c>
      <c r="AM174" s="3">
        <v>-188.03</v>
      </c>
      <c r="AN174" s="3">
        <v>-520.72</v>
      </c>
      <c r="AO174" s="3">
        <v>-396.92</v>
      </c>
      <c r="AP174" s="4">
        <f t="shared" si="165"/>
        <v>-3347.4100000000008</v>
      </c>
      <c r="AQ174" s="5">
        <v>-262.22962000000001</v>
      </c>
      <c r="AR174" s="3">
        <v>-521.48685999999998</v>
      </c>
      <c r="AS174" s="3">
        <v>-129.02314000000001</v>
      </c>
      <c r="AT174" s="3">
        <v>-335.10786999999999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4">
        <f t="shared" si="166"/>
        <v>-1247.8474900000001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4">
        <f t="shared" si="167"/>
        <v>0</v>
      </c>
    </row>
    <row r="175" spans="1:68" x14ac:dyDescent="0.25">
      <c r="A175" t="s">
        <v>192</v>
      </c>
      <c r="D175" s="3">
        <v>0</v>
      </c>
      <c r="E175" s="3">
        <v>1649.02</v>
      </c>
      <c r="F175" s="3">
        <v>3589.19</v>
      </c>
      <c r="G175" s="3">
        <v>3242.74</v>
      </c>
      <c r="H175" s="3">
        <v>1106.57</v>
      </c>
      <c r="I175" s="3">
        <v>4654.67</v>
      </c>
      <c r="J175" s="3">
        <v>-97.91</v>
      </c>
      <c r="K175" s="3">
        <v>4821.99</v>
      </c>
      <c r="L175" s="3">
        <v>2543.6799999999998</v>
      </c>
      <c r="M175" s="3">
        <v>6217.93</v>
      </c>
      <c r="N175" s="3">
        <v>4829.45</v>
      </c>
      <c r="O175" s="3">
        <v>3046.19</v>
      </c>
      <c r="P175" s="4">
        <f t="shared" si="163"/>
        <v>35603.520000000004</v>
      </c>
      <c r="Q175" s="3">
        <v>-210.75</v>
      </c>
      <c r="R175" s="3">
        <v>7966.7</v>
      </c>
      <c r="S175" s="3">
        <v>3046.55</v>
      </c>
      <c r="T175" s="3">
        <v>3642.24</v>
      </c>
      <c r="U175" s="3">
        <v>481.38</v>
      </c>
      <c r="V175" s="3">
        <v>5372.09</v>
      </c>
      <c r="W175" s="3">
        <v>3657.83</v>
      </c>
      <c r="X175" s="3">
        <v>4875.6499999999996</v>
      </c>
      <c r="Y175" s="3">
        <v>1199.17</v>
      </c>
      <c r="Z175" s="3">
        <v>7985.28</v>
      </c>
      <c r="AA175" s="3">
        <v>1929.16</v>
      </c>
      <c r="AB175" s="3">
        <v>5902.68</v>
      </c>
      <c r="AC175" s="4">
        <f t="shared" si="164"/>
        <v>45847.98</v>
      </c>
      <c r="AD175" s="3">
        <v>1660.05</v>
      </c>
      <c r="AE175" s="3">
        <v>6736.01</v>
      </c>
      <c r="AF175" s="3">
        <v>2596.84</v>
      </c>
      <c r="AG175" s="3">
        <v>7442.63</v>
      </c>
      <c r="AH175" s="3">
        <v>1352.06</v>
      </c>
      <c r="AI175" s="3">
        <v>7177.7</v>
      </c>
      <c r="AJ175" s="3">
        <v>1637.63</v>
      </c>
      <c r="AK175" s="3">
        <v>4327.72</v>
      </c>
      <c r="AL175" s="3">
        <v>-181.52</v>
      </c>
      <c r="AM175" s="3">
        <v>1539.06</v>
      </c>
      <c r="AN175" s="3">
        <v>4234.07</v>
      </c>
      <c r="AO175" s="3">
        <v>4762.54</v>
      </c>
      <c r="AP175" s="4">
        <f t="shared" si="165"/>
        <v>43284.79</v>
      </c>
      <c r="AQ175" s="5">
        <v>9799.6503799999991</v>
      </c>
      <c r="AR175" s="3">
        <v>4224.9871400000002</v>
      </c>
      <c r="AS175" s="3">
        <v>1840.7408600000001</v>
      </c>
      <c r="AT175" s="3">
        <v>6460.1801299999997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4">
        <f t="shared" si="166"/>
        <v>22325.558509999999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4">
        <f t="shared" si="167"/>
        <v>0</v>
      </c>
    </row>
    <row r="176" spans="1:68" x14ac:dyDescent="0.25">
      <c r="A176" t="s">
        <v>193</v>
      </c>
      <c r="D176" s="3">
        <v>0</v>
      </c>
      <c r="E176" s="3">
        <v>-841.67</v>
      </c>
      <c r="F176" s="3">
        <v>-273.62</v>
      </c>
      <c r="G176" s="3">
        <v>-711.24</v>
      </c>
      <c r="H176" s="3">
        <v>-164.56</v>
      </c>
      <c r="I176" s="3">
        <v>-1040.48</v>
      </c>
      <c r="J176" s="3">
        <v>-315.73</v>
      </c>
      <c r="K176" s="3">
        <v>-990.59</v>
      </c>
      <c r="L176" s="3">
        <v>-74.44</v>
      </c>
      <c r="M176" s="3">
        <v>-1324.17</v>
      </c>
      <c r="N176" s="3">
        <v>-977.51</v>
      </c>
      <c r="O176" s="3">
        <v>-964.3</v>
      </c>
      <c r="P176" s="4">
        <f t="shared" si="163"/>
        <v>-7678.3099999999995</v>
      </c>
      <c r="Q176" s="3">
        <v>-390.13</v>
      </c>
      <c r="R176" s="3">
        <v>-1347.81</v>
      </c>
      <c r="S176" s="3">
        <v>-96.2</v>
      </c>
      <c r="T176" s="3">
        <v>-1204.22</v>
      </c>
      <c r="U176" s="3">
        <v>-832.65</v>
      </c>
      <c r="V176" s="3">
        <v>-110.43</v>
      </c>
      <c r="W176" s="3">
        <v>-345.59</v>
      </c>
      <c r="X176" s="3">
        <v>-1312.7</v>
      </c>
      <c r="Y176" s="3">
        <v>-60.67</v>
      </c>
      <c r="Z176" s="3">
        <v>-1127.55</v>
      </c>
      <c r="AA176" s="3">
        <v>-224.69</v>
      </c>
      <c r="AB176" s="3">
        <v>-1014.7</v>
      </c>
      <c r="AC176" s="4">
        <f t="shared" si="164"/>
        <v>-8067.3399999999992</v>
      </c>
      <c r="AD176" s="3">
        <v>-1326.94</v>
      </c>
      <c r="AE176" s="3">
        <v>-46.72</v>
      </c>
      <c r="AF176" s="3">
        <v>-301.27</v>
      </c>
      <c r="AG176" s="3">
        <v>-1264.96</v>
      </c>
      <c r="AH176" s="3">
        <v>-1686.17</v>
      </c>
      <c r="AI176" s="3">
        <v>-119.25</v>
      </c>
      <c r="AJ176" s="3">
        <v>-1558.21</v>
      </c>
      <c r="AK176" s="3">
        <v>-942.28</v>
      </c>
      <c r="AL176" s="3">
        <v>-267.22000000000003</v>
      </c>
      <c r="AM176" s="3">
        <v>-1206.8800000000001</v>
      </c>
      <c r="AN176" s="3">
        <v>-163.85</v>
      </c>
      <c r="AO176" s="3">
        <v>-2477</v>
      </c>
      <c r="AP176" s="4">
        <f t="shared" si="165"/>
        <v>-11360.750000000002</v>
      </c>
      <c r="AQ176" s="5">
        <v>-1728.9468400000001</v>
      </c>
      <c r="AR176" s="3">
        <v>-1188.8733199999999</v>
      </c>
      <c r="AS176" s="3">
        <v>-479.74187999999998</v>
      </c>
      <c r="AT176" s="3">
        <v>-1637.85094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4">
        <f t="shared" si="166"/>
        <v>-5035.4129800000001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4">
        <f t="shared" si="167"/>
        <v>0</v>
      </c>
    </row>
    <row r="177" spans="1:68" x14ac:dyDescent="0.25">
      <c r="A177" t="s">
        <v>194</v>
      </c>
      <c r="D177" s="3">
        <v>0</v>
      </c>
      <c r="E177" s="3">
        <v>9115.4500000000007</v>
      </c>
      <c r="F177" s="3">
        <v>19720</v>
      </c>
      <c r="G177" s="3">
        <v>16785.560000000001</v>
      </c>
      <c r="H177" s="3">
        <v>5902.75</v>
      </c>
      <c r="I177" s="3">
        <v>23441.22</v>
      </c>
      <c r="J177" s="3">
        <v>40</v>
      </c>
      <c r="K177" s="3">
        <v>25287.9</v>
      </c>
      <c r="L177" s="3">
        <v>13694.3</v>
      </c>
      <c r="M177" s="3">
        <v>31863.56</v>
      </c>
      <c r="N177" s="3">
        <v>26753.01</v>
      </c>
      <c r="O177" s="3">
        <v>17098.09</v>
      </c>
      <c r="P177" s="4">
        <f t="shared" si="163"/>
        <v>189701.84000000003</v>
      </c>
      <c r="Q177" s="3">
        <v>92.5</v>
      </c>
      <c r="R177" s="3">
        <v>41872.370000000003</v>
      </c>
      <c r="S177" s="3">
        <v>16737.57</v>
      </c>
      <c r="T177" s="3">
        <v>20451.53</v>
      </c>
      <c r="U177" s="3">
        <v>4816.7</v>
      </c>
      <c r="V177" s="3">
        <v>28369.24</v>
      </c>
      <c r="W177" s="3">
        <v>20533.27</v>
      </c>
      <c r="X177" s="3">
        <v>24454.720000000001</v>
      </c>
      <c r="Y177" s="3">
        <v>6725.76</v>
      </c>
      <c r="Z177" s="3">
        <v>42615.35</v>
      </c>
      <c r="AA177" s="3">
        <v>10372.370000000001</v>
      </c>
      <c r="AB177" s="3">
        <v>30730.44</v>
      </c>
      <c r="AC177" s="4">
        <f t="shared" si="164"/>
        <v>247771.82</v>
      </c>
      <c r="AD177" s="3">
        <v>10626.965</v>
      </c>
      <c r="AE177" s="3">
        <v>34044.449999999997</v>
      </c>
      <c r="AF177" s="3">
        <v>14572.18</v>
      </c>
      <c r="AG177" s="3">
        <v>39543.67</v>
      </c>
      <c r="AH177" s="3">
        <v>7128.56</v>
      </c>
      <c r="AI177" s="3">
        <v>37840.97</v>
      </c>
      <c r="AJ177" s="3">
        <v>9194.9599999999991</v>
      </c>
      <c r="AK177" s="3">
        <v>21906.7</v>
      </c>
      <c r="AL177" s="3">
        <v>95.83</v>
      </c>
      <c r="AM177" s="3">
        <v>8635.41</v>
      </c>
      <c r="AN177" s="3">
        <v>23773.97</v>
      </c>
      <c r="AO177" s="3">
        <v>25797.32</v>
      </c>
      <c r="AP177" s="4">
        <f t="shared" si="165"/>
        <v>233160.98499999999</v>
      </c>
      <c r="AQ177" s="5">
        <v>50309.4</v>
      </c>
      <c r="AR177" s="3">
        <v>23732.37</v>
      </c>
      <c r="AS177" s="3">
        <v>9848.82</v>
      </c>
      <c r="AT177" s="3">
        <v>33976.44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4">
        <f t="shared" si="166"/>
        <v>117867.03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4">
        <f t="shared" si="167"/>
        <v>0</v>
      </c>
    </row>
    <row r="178" spans="1:68" x14ac:dyDescent="0.25">
      <c r="A178" t="s">
        <v>195</v>
      </c>
      <c r="D178" s="3">
        <v>0</v>
      </c>
      <c r="E178" s="3">
        <v>5263.7196000000004</v>
      </c>
      <c r="F178" s="3">
        <v>3313.1701200000002</v>
      </c>
      <c r="G178" s="3">
        <v>4288.1531599999998</v>
      </c>
      <c r="H178" s="3">
        <v>1338.6836800000001</v>
      </c>
      <c r="I178" s="3">
        <v>5502.2842000000001</v>
      </c>
      <c r="J178" s="3">
        <v>2225.15128</v>
      </c>
      <c r="K178" s="3">
        <v>6285.9116000000004</v>
      </c>
      <c r="L178" s="3">
        <v>1489.14212</v>
      </c>
      <c r="M178" s="3">
        <v>7521.7426400000004</v>
      </c>
      <c r="N178" s="3">
        <v>7539.3889600000002</v>
      </c>
      <c r="O178" s="3">
        <v>6879.6304799999998</v>
      </c>
      <c r="P178" s="4">
        <f t="shared" si="163"/>
        <v>51646.97784</v>
      </c>
      <c r="Q178" s="3">
        <v>3161.9583200000002</v>
      </c>
      <c r="R178" s="3">
        <v>8849.9057599999996</v>
      </c>
      <c r="S178" s="3">
        <v>2087.93896</v>
      </c>
      <c r="T178" s="3">
        <v>8313.3907999999992</v>
      </c>
      <c r="U178" s="3">
        <v>6708.1083200000003</v>
      </c>
      <c r="V178" s="3">
        <v>2208.8700399999998</v>
      </c>
      <c r="W178" s="3">
        <v>4170.1218799999997</v>
      </c>
      <c r="X178" s="3">
        <v>6789.0271599999996</v>
      </c>
      <c r="Y178" s="3">
        <v>1170.2574400000001</v>
      </c>
      <c r="Z178" s="3">
        <v>8433.6193999999996</v>
      </c>
      <c r="AA178" s="3">
        <v>2006.0308</v>
      </c>
      <c r="AB178" s="3">
        <v>6453.5168400000002</v>
      </c>
      <c r="AC178" s="4">
        <f t="shared" si="164"/>
        <v>60352.745720000006</v>
      </c>
      <c r="AD178" s="3">
        <v>9154.4178800000009</v>
      </c>
      <c r="AE178" s="3">
        <v>741.00927999999999</v>
      </c>
      <c r="AF178" s="3">
        <v>3145.3593999999998</v>
      </c>
      <c r="AG178" s="3">
        <v>8712.3389599999991</v>
      </c>
      <c r="AH178" s="3">
        <v>8906.1403599999994</v>
      </c>
      <c r="AI178" s="3">
        <v>2606.6486799999998</v>
      </c>
      <c r="AJ178" s="3">
        <v>8851.8007600000001</v>
      </c>
      <c r="AK178" s="3">
        <v>5178.4622799999997</v>
      </c>
      <c r="AL178" s="3">
        <v>2412.5541199999998</v>
      </c>
      <c r="AM178" s="3">
        <v>7054.53352</v>
      </c>
      <c r="AN178" s="3">
        <v>3532.8312000000001</v>
      </c>
      <c r="AO178" s="3">
        <v>14429.5926</v>
      </c>
      <c r="AP178" s="4">
        <f t="shared" si="165"/>
        <v>74725.689039999997</v>
      </c>
      <c r="AQ178" s="5">
        <v>7333.58608</v>
      </c>
      <c r="AR178" s="3">
        <v>3336.93228</v>
      </c>
      <c r="AS178" s="3">
        <v>1753.5936799999999</v>
      </c>
      <c r="AT178" s="3">
        <v>6513.7153600000001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4">
        <f t="shared" si="166"/>
        <v>18937.827400000002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4">
        <f t="shared" si="167"/>
        <v>0</v>
      </c>
    </row>
    <row r="179" spans="1:68" x14ac:dyDescent="0.25">
      <c r="A179" t="s">
        <v>196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4">
        <f t="shared" si="163"/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4">
        <f t="shared" si="164"/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4">
        <f t="shared" si="165"/>
        <v>0</v>
      </c>
      <c r="AQ179" s="5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4">
        <f t="shared" si="166"/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4">
        <f t="shared" si="167"/>
        <v>0</v>
      </c>
    </row>
    <row r="180" spans="1:68" x14ac:dyDescent="0.25">
      <c r="A180" t="s">
        <v>197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4">
        <f t="shared" si="163"/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4">
        <f t="shared" si="164"/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4">
        <f t="shared" si="165"/>
        <v>0</v>
      </c>
      <c r="AQ180" s="5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4">
        <f t="shared" si="166"/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4">
        <f t="shared" si="167"/>
        <v>0</v>
      </c>
    </row>
    <row r="181" spans="1:68" s="23" customFormat="1" x14ac:dyDescent="0.25">
      <c r="A181" s="104" t="s">
        <v>198</v>
      </c>
      <c r="B181" s="105"/>
      <c r="C181" s="104"/>
      <c r="D181" s="106">
        <v>0</v>
      </c>
      <c r="E181" s="106">
        <v>807.35</v>
      </c>
      <c r="F181" s="106">
        <v>3315.57</v>
      </c>
      <c r="G181" s="106">
        <v>2531.5</v>
      </c>
      <c r="H181" s="106">
        <v>942.01</v>
      </c>
      <c r="I181" s="106">
        <v>3614.19</v>
      </c>
      <c r="J181" s="106">
        <v>-413.64</v>
      </c>
      <c r="K181" s="106">
        <v>3831.4</v>
      </c>
      <c r="L181" s="106">
        <v>2469.2399999999998</v>
      </c>
      <c r="M181" s="106">
        <v>4893.76</v>
      </c>
      <c r="N181" s="106">
        <v>3851.94</v>
      </c>
      <c r="O181" s="106">
        <v>2081.89</v>
      </c>
      <c r="P181" s="58">
        <f t="shared" si="163"/>
        <v>27925.210000000003</v>
      </c>
      <c r="Q181" s="106">
        <v>-600.88</v>
      </c>
      <c r="R181" s="106">
        <v>6618.89</v>
      </c>
      <c r="S181" s="106">
        <v>2950.35</v>
      </c>
      <c r="T181" s="106">
        <v>2438.02</v>
      </c>
      <c r="U181" s="106">
        <v>-351.27</v>
      </c>
      <c r="V181" s="106">
        <v>5261.66</v>
      </c>
      <c r="W181" s="106">
        <v>3312.24</v>
      </c>
      <c r="X181" s="106">
        <v>3562.95</v>
      </c>
      <c r="Y181" s="106">
        <v>1138.5</v>
      </c>
      <c r="Z181" s="106">
        <v>6857.73</v>
      </c>
      <c r="AA181" s="106">
        <v>1704.47</v>
      </c>
      <c r="AB181" s="106">
        <v>4887.9799999999996</v>
      </c>
      <c r="AC181" s="58">
        <f t="shared" si="164"/>
        <v>37780.639999999999</v>
      </c>
      <c r="AD181" s="106">
        <v>333.11</v>
      </c>
      <c r="AE181" s="106">
        <v>6689.29</v>
      </c>
      <c r="AF181" s="106">
        <v>2295.5700000000002</v>
      </c>
      <c r="AG181" s="106">
        <v>6177.67</v>
      </c>
      <c r="AH181" s="106">
        <v>-334.11</v>
      </c>
      <c r="AI181" s="106">
        <v>7058.45</v>
      </c>
      <c r="AJ181" s="106">
        <v>79.42</v>
      </c>
      <c r="AK181" s="106">
        <v>3385.44</v>
      </c>
      <c r="AL181" s="106">
        <v>-448.74</v>
      </c>
      <c r="AM181" s="106">
        <v>332.18</v>
      </c>
      <c r="AN181" s="106">
        <v>4070.22</v>
      </c>
      <c r="AO181" s="106">
        <v>2285.54</v>
      </c>
      <c r="AP181" s="58">
        <f t="shared" si="165"/>
        <v>31924.039999999997</v>
      </c>
      <c r="AQ181" s="107">
        <v>8332.9331600000005</v>
      </c>
      <c r="AR181" s="106">
        <v>3557.60068</v>
      </c>
      <c r="AS181" s="106">
        <v>1490.0221200000001</v>
      </c>
      <c r="AT181" s="106">
        <v>5157.4370600000002</v>
      </c>
      <c r="AU181" s="106">
        <v>0</v>
      </c>
      <c r="AV181" s="106">
        <v>0</v>
      </c>
      <c r="AW181" s="106">
        <v>0</v>
      </c>
      <c r="AX181" s="106">
        <v>0</v>
      </c>
      <c r="AY181" s="106">
        <v>0</v>
      </c>
      <c r="AZ181" s="106">
        <v>0</v>
      </c>
      <c r="BA181" s="106">
        <v>0</v>
      </c>
      <c r="BB181" s="106">
        <v>0</v>
      </c>
      <c r="BC181" s="58">
        <f t="shared" si="166"/>
        <v>18537.993020000002</v>
      </c>
      <c r="BD181" s="106">
        <v>0</v>
      </c>
      <c r="BE181" s="106">
        <v>0</v>
      </c>
      <c r="BF181" s="106">
        <v>0</v>
      </c>
      <c r="BG181" s="106">
        <v>0</v>
      </c>
      <c r="BH181" s="106">
        <v>0</v>
      </c>
      <c r="BI181" s="106">
        <v>0</v>
      </c>
      <c r="BJ181" s="106">
        <v>0</v>
      </c>
      <c r="BK181" s="106">
        <v>0</v>
      </c>
      <c r="BL181" s="106">
        <v>0</v>
      </c>
      <c r="BM181" s="106">
        <v>0</v>
      </c>
      <c r="BN181" s="106">
        <v>0</v>
      </c>
      <c r="BO181" s="106">
        <v>0</v>
      </c>
      <c r="BP181" s="58">
        <f t="shared" si="167"/>
        <v>0</v>
      </c>
    </row>
    <row r="183" spans="1:68" s="25" customFormat="1" x14ac:dyDescent="0.25">
      <c r="A183" s="25" t="s">
        <v>200</v>
      </c>
      <c r="B183" s="108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10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10"/>
      <c r="AD183" s="109"/>
      <c r="AE183" s="109"/>
      <c r="AF183" s="109"/>
      <c r="AG183" s="109"/>
      <c r="AH183" s="109"/>
      <c r="AI183" s="109"/>
      <c r="AJ183" s="109"/>
      <c r="AK183" s="109"/>
      <c r="AL183" s="109"/>
      <c r="AM183" s="109"/>
      <c r="AN183" s="109"/>
      <c r="AO183" s="109"/>
      <c r="AP183" s="110"/>
      <c r="AQ183" s="109"/>
      <c r="AR183" s="109"/>
      <c r="AS183" s="109"/>
      <c r="AT183" s="109"/>
      <c r="AU183" s="109"/>
      <c r="AV183" s="109"/>
      <c r="AW183" s="109"/>
      <c r="AX183" s="109"/>
      <c r="AY183" s="109"/>
      <c r="AZ183" s="109"/>
      <c r="BA183" s="109"/>
      <c r="BB183" s="109"/>
      <c r="BC183" s="110"/>
      <c r="BD183" s="109"/>
      <c r="BE183" s="109"/>
      <c r="BF183" s="109"/>
      <c r="BG183" s="109"/>
      <c r="BH183" s="109"/>
      <c r="BI183" s="109"/>
      <c r="BJ183" s="109"/>
      <c r="BK183" s="109"/>
      <c r="BL183" s="109"/>
      <c r="BM183" s="109"/>
      <c r="BN183" s="109"/>
      <c r="BO183" s="109"/>
      <c r="BP183" s="110"/>
    </row>
    <row r="184" spans="1:68" x14ac:dyDescent="0.25">
      <c r="A184" t="s">
        <v>201</v>
      </c>
      <c r="B184" s="2" t="s">
        <v>202</v>
      </c>
      <c r="D184" s="3">
        <v>-1</v>
      </c>
      <c r="E184" s="3">
        <v>-1</v>
      </c>
      <c r="F184" s="3">
        <v>-1</v>
      </c>
      <c r="G184" s="3">
        <v>-1</v>
      </c>
      <c r="H184" s="3">
        <v>-1</v>
      </c>
      <c r="I184" s="3">
        <v>-1</v>
      </c>
      <c r="J184" s="3">
        <v>-1</v>
      </c>
      <c r="K184" s="3">
        <v>-1</v>
      </c>
      <c r="L184" s="3">
        <v>-1</v>
      </c>
      <c r="M184" s="3">
        <v>-1</v>
      </c>
      <c r="N184" s="3">
        <v>-1</v>
      </c>
      <c r="O184" s="3">
        <v>-1</v>
      </c>
      <c r="P184" s="4">
        <f t="shared" ref="P184:P195" si="168">O184</f>
        <v>-1</v>
      </c>
      <c r="Q184" s="3">
        <v>-1</v>
      </c>
      <c r="R184" s="3">
        <v>-1</v>
      </c>
      <c r="S184" s="3">
        <v>-1</v>
      </c>
      <c r="T184" s="3">
        <v>-1</v>
      </c>
      <c r="U184" s="3">
        <v>-1</v>
      </c>
      <c r="V184" s="3">
        <v>-1</v>
      </c>
      <c r="W184" s="3">
        <v>-1</v>
      </c>
      <c r="X184" s="3">
        <v>-1</v>
      </c>
      <c r="Y184" s="3">
        <v>-1</v>
      </c>
      <c r="Z184" s="3">
        <v>-1</v>
      </c>
      <c r="AA184" s="3">
        <v>-1</v>
      </c>
      <c r="AB184" s="3">
        <v>-1</v>
      </c>
      <c r="AC184" s="4">
        <f t="shared" ref="AC184:AC195" si="169">AB184</f>
        <v>-1</v>
      </c>
      <c r="AD184" s="3">
        <v>-1</v>
      </c>
      <c r="AE184" s="3">
        <v>-1</v>
      </c>
      <c r="AF184" s="3">
        <v>-1</v>
      </c>
      <c r="AG184" s="3">
        <v>-1</v>
      </c>
      <c r="AH184" s="3">
        <v>-1</v>
      </c>
      <c r="AI184" s="3">
        <v>-1</v>
      </c>
      <c r="AJ184" s="3">
        <v>-1</v>
      </c>
      <c r="AK184" s="3">
        <v>-1</v>
      </c>
      <c r="AL184" s="3">
        <v>-1</v>
      </c>
      <c r="AM184" s="3">
        <v>-1</v>
      </c>
      <c r="AN184" s="3">
        <v>-1</v>
      </c>
      <c r="AO184" s="3">
        <v>-1</v>
      </c>
      <c r="AP184" s="4">
        <f t="shared" ref="AP184:AP195" si="170">AO184</f>
        <v>-1</v>
      </c>
      <c r="AQ184" s="5">
        <v>-1</v>
      </c>
      <c r="AR184" s="3">
        <v>-1</v>
      </c>
      <c r="AS184" s="3">
        <v>-1</v>
      </c>
      <c r="AT184" s="3">
        <v>-1</v>
      </c>
      <c r="AU184" s="3">
        <v>-1</v>
      </c>
      <c r="AV184" s="3">
        <v>-1</v>
      </c>
      <c r="AW184" s="3">
        <v>-1</v>
      </c>
      <c r="AX184" s="3">
        <v>-1</v>
      </c>
      <c r="AY184" s="3">
        <v>-1</v>
      </c>
      <c r="AZ184" s="3">
        <v>-1</v>
      </c>
      <c r="BA184" s="3">
        <v>-1</v>
      </c>
      <c r="BB184" s="3">
        <v>-1</v>
      </c>
      <c r="BC184" s="4">
        <f t="shared" ref="BC184:BC195" si="171">BB184</f>
        <v>-1</v>
      </c>
    </row>
    <row r="185" spans="1:68" x14ac:dyDescent="0.25">
      <c r="A185" t="s">
        <v>203</v>
      </c>
      <c r="B185" s="2" t="s">
        <v>204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4">
        <f t="shared" si="168"/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4">
        <f t="shared" si="169"/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4">
        <f t="shared" si="170"/>
        <v>0</v>
      </c>
      <c r="AQ185" s="5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4">
        <f t="shared" si="171"/>
        <v>0</v>
      </c>
    </row>
    <row r="186" spans="1:68" x14ac:dyDescent="0.25">
      <c r="A186" t="s">
        <v>187</v>
      </c>
      <c r="B186" s="2" t="s">
        <v>205</v>
      </c>
      <c r="D186" s="3">
        <v>13750.75</v>
      </c>
      <c r="E186" s="3">
        <v>13750.75</v>
      </c>
      <c r="F186" s="3">
        <v>17391.62</v>
      </c>
      <c r="G186" s="3">
        <v>26964.03</v>
      </c>
      <c r="H186" s="3">
        <v>30047.24</v>
      </c>
      <c r="I186" s="3">
        <v>43309.98</v>
      </c>
      <c r="J186" s="3">
        <v>51227.68</v>
      </c>
      <c r="K186" s="3">
        <v>61097.34</v>
      </c>
      <c r="L186" s="3">
        <v>73287.759999999995</v>
      </c>
      <c r="M186" s="3">
        <v>94071.23</v>
      </c>
      <c r="N186" s="3">
        <v>110767.63</v>
      </c>
      <c r="O186" s="3">
        <v>132537.07</v>
      </c>
      <c r="P186" s="4">
        <f t="shared" si="168"/>
        <v>132537.07</v>
      </c>
      <c r="Q186" s="3">
        <v>137534.51999999999</v>
      </c>
      <c r="R186" s="3">
        <v>152985.76</v>
      </c>
      <c r="S186" s="3">
        <v>170217.16</v>
      </c>
      <c r="T186" s="3">
        <v>193249.82</v>
      </c>
      <c r="U186" s="3">
        <v>206375.16</v>
      </c>
      <c r="V186" s="3">
        <v>231045.91</v>
      </c>
      <c r="W186" s="3">
        <v>251972.68</v>
      </c>
      <c r="X186" s="3">
        <v>266785.03000000003</v>
      </c>
      <c r="Y186" s="3">
        <v>277277.90999999997</v>
      </c>
      <c r="Z186" s="3">
        <v>278089.82639</v>
      </c>
      <c r="AA186" s="3">
        <v>288385.03639000002</v>
      </c>
      <c r="AB186" s="3">
        <v>308902.65639000002</v>
      </c>
      <c r="AC186" s="4">
        <f t="shared" si="169"/>
        <v>308902.65639000002</v>
      </c>
      <c r="AD186" s="3">
        <v>309476.94639</v>
      </c>
      <c r="AE186" s="3">
        <v>312551.77639000001</v>
      </c>
      <c r="AF186" s="3">
        <v>325034.64639000001</v>
      </c>
      <c r="AG186" s="3">
        <v>350910.82639</v>
      </c>
      <c r="AH186" s="3">
        <v>356542.36638999998</v>
      </c>
      <c r="AI186" s="3">
        <v>385876.65639000002</v>
      </c>
      <c r="AJ186" s="3">
        <v>399936.69639</v>
      </c>
      <c r="AK186" s="3">
        <v>405726.80638999998</v>
      </c>
      <c r="AL186" s="3">
        <v>414243.25639</v>
      </c>
      <c r="AM186" s="3">
        <v>388122.30547999998</v>
      </c>
      <c r="AN186" s="3">
        <v>406502.12547999999</v>
      </c>
      <c r="AO186" s="3">
        <v>425769.04547999997</v>
      </c>
      <c r="AP186" s="4">
        <f t="shared" si="170"/>
        <v>425769.04547999997</v>
      </c>
      <c r="AQ186" s="5">
        <v>425769.04547999997</v>
      </c>
      <c r="AR186" s="3">
        <v>425769.04547999997</v>
      </c>
      <c r="AS186" s="3">
        <v>425769.04547999997</v>
      </c>
      <c r="AT186" s="3">
        <v>425769.04547999997</v>
      </c>
      <c r="AU186" s="3">
        <v>425769.04547999997</v>
      </c>
      <c r="AV186" s="3">
        <v>425769.04547999997</v>
      </c>
      <c r="AW186" s="3">
        <v>425769.04547999997</v>
      </c>
      <c r="AX186" s="3">
        <v>425769.04547999997</v>
      </c>
      <c r="AY186" s="3">
        <v>425769.04547999997</v>
      </c>
      <c r="AZ186" s="3">
        <v>425769.04547999997</v>
      </c>
      <c r="BA186" s="3">
        <v>425769.04547999997</v>
      </c>
      <c r="BB186" s="3">
        <v>425769.04547999997</v>
      </c>
      <c r="BC186" s="4">
        <f t="shared" si="171"/>
        <v>425769.04547999997</v>
      </c>
    </row>
    <row r="187" spans="1:68" x14ac:dyDescent="0.25">
      <c r="A187" t="s">
        <v>185</v>
      </c>
      <c r="B187" s="2" t="s">
        <v>206</v>
      </c>
      <c r="D187" s="3">
        <v>26250.25</v>
      </c>
      <c r="E187" s="3">
        <v>17556.09</v>
      </c>
      <c r="F187" s="3">
        <v>26213.62</v>
      </c>
      <c r="G187" s="3">
        <v>28190.81</v>
      </c>
      <c r="H187" s="3">
        <v>26027.74</v>
      </c>
      <c r="I187" s="3">
        <v>28843.86</v>
      </c>
      <c r="J187" s="3">
        <v>27639.23</v>
      </c>
      <c r="K187" s="3">
        <v>28289.89</v>
      </c>
      <c r="L187" s="3">
        <v>29063.47</v>
      </c>
      <c r="M187" s="3">
        <v>31927.82</v>
      </c>
      <c r="N187" s="3">
        <v>30565.47</v>
      </c>
      <c r="O187" s="3">
        <v>31302.48</v>
      </c>
      <c r="P187" s="4">
        <f t="shared" si="168"/>
        <v>31302.48</v>
      </c>
      <c r="Q187" s="3">
        <v>26665.82</v>
      </c>
      <c r="R187" s="3">
        <v>30150.41</v>
      </c>
      <c r="S187" s="3">
        <v>30743.8</v>
      </c>
      <c r="T187" s="3">
        <v>32677.55</v>
      </c>
      <c r="U187" s="3">
        <v>29375.11</v>
      </c>
      <c r="V187" s="3">
        <v>31617.37</v>
      </c>
      <c r="W187" s="3">
        <v>31975.59</v>
      </c>
      <c r="X187" s="3">
        <v>28935.81</v>
      </c>
      <c r="Y187" s="3">
        <v>28497.63</v>
      </c>
      <c r="Z187" s="3">
        <v>34035.360000000001</v>
      </c>
      <c r="AA187" s="3">
        <v>28431.74</v>
      </c>
      <c r="AB187" s="3">
        <v>31839.21</v>
      </c>
      <c r="AC187" s="4">
        <f t="shared" si="169"/>
        <v>31839.21</v>
      </c>
      <c r="AD187" s="3">
        <v>25191.43</v>
      </c>
      <c r="AE187" s="3">
        <v>40424.94</v>
      </c>
      <c r="AF187" s="3">
        <v>43560.959999999999</v>
      </c>
      <c r="AG187" s="3">
        <v>48025.4</v>
      </c>
      <c r="AH187" s="3">
        <v>36957.18</v>
      </c>
      <c r="AI187" s="3">
        <v>40429.1</v>
      </c>
      <c r="AJ187" s="3">
        <v>32566.68</v>
      </c>
      <c r="AK187" s="3">
        <v>29810.04</v>
      </c>
      <c r="AL187" s="3">
        <v>30718.82</v>
      </c>
      <c r="AM187" s="3">
        <v>32567.69</v>
      </c>
      <c r="AN187" s="3">
        <v>33700.74</v>
      </c>
      <c r="AO187" s="3">
        <v>27880</v>
      </c>
      <c r="AP187" s="4">
        <f t="shared" si="170"/>
        <v>27880</v>
      </c>
      <c r="AQ187" s="5">
        <v>27880</v>
      </c>
      <c r="AR187" s="3">
        <v>27880</v>
      </c>
      <c r="AS187" s="3">
        <v>27880</v>
      </c>
      <c r="AT187" s="3">
        <v>27880</v>
      </c>
      <c r="AU187" s="3">
        <v>27880</v>
      </c>
      <c r="AV187" s="3">
        <v>27880</v>
      </c>
      <c r="AW187" s="3">
        <v>27880</v>
      </c>
      <c r="AX187" s="3">
        <v>27880</v>
      </c>
      <c r="AY187" s="3">
        <v>27880</v>
      </c>
      <c r="AZ187" s="3">
        <v>27880</v>
      </c>
      <c r="BA187" s="3">
        <v>27880</v>
      </c>
      <c r="BB187" s="3">
        <v>27880</v>
      </c>
      <c r="BC187" s="4">
        <f t="shared" si="171"/>
        <v>27880</v>
      </c>
    </row>
    <row r="188" spans="1:68" x14ac:dyDescent="0.25">
      <c r="A188" t="s">
        <v>185</v>
      </c>
      <c r="B188" s="2" t="s">
        <v>207</v>
      </c>
      <c r="D188" s="3">
        <v>0</v>
      </c>
      <c r="E188" s="3">
        <v>11991.54</v>
      </c>
      <c r="F188" s="3">
        <v>16321.07</v>
      </c>
      <c r="G188" s="3">
        <v>17030.28</v>
      </c>
      <c r="H188" s="3">
        <v>14908.71</v>
      </c>
      <c r="I188" s="3">
        <v>17599.16</v>
      </c>
      <c r="J188" s="3">
        <v>15418.77</v>
      </c>
      <c r="K188" s="3">
        <v>18283.66</v>
      </c>
      <c r="L188" s="3">
        <v>17161.8</v>
      </c>
      <c r="M188" s="3">
        <v>19909.62</v>
      </c>
      <c r="N188" s="3">
        <v>19643.82</v>
      </c>
      <c r="O188" s="3">
        <v>21124.44</v>
      </c>
      <c r="P188" s="4">
        <f t="shared" si="168"/>
        <v>21124.44</v>
      </c>
      <c r="Q188" s="3">
        <v>26273.24</v>
      </c>
      <c r="R188" s="3">
        <v>33510.07</v>
      </c>
      <c r="S188" s="3">
        <v>30397.57</v>
      </c>
      <c r="T188" s="3">
        <v>33370.17</v>
      </c>
      <c r="U188" s="3">
        <v>30936.76</v>
      </c>
      <c r="V188" s="3">
        <v>32688.3</v>
      </c>
      <c r="W188" s="3">
        <v>31578.52</v>
      </c>
      <c r="X188" s="3">
        <v>30338.27</v>
      </c>
      <c r="Y188" s="3">
        <v>28108.07</v>
      </c>
      <c r="Z188" s="3">
        <v>34530.93</v>
      </c>
      <c r="AA188" s="3">
        <v>28880.46</v>
      </c>
      <c r="AB188" s="3">
        <v>31752.83</v>
      </c>
      <c r="AC188" s="4">
        <f t="shared" si="169"/>
        <v>31752.83</v>
      </c>
      <c r="AD188" s="3">
        <v>37987.904999999999</v>
      </c>
      <c r="AE188" s="3">
        <v>42643.205000000002</v>
      </c>
      <c r="AF188" s="3">
        <v>42451.665000000001</v>
      </c>
      <c r="AG188" s="3">
        <v>46601.385000000002</v>
      </c>
      <c r="AH188" s="3">
        <v>39771.474999999999</v>
      </c>
      <c r="AI188" s="3">
        <v>46891.945</v>
      </c>
      <c r="AJ188" s="3">
        <v>42018.714999999997</v>
      </c>
      <c r="AK188" s="3">
        <v>42424.044999999998</v>
      </c>
      <c r="AL188" s="3">
        <v>40752.675000000003</v>
      </c>
      <c r="AM188" s="3">
        <v>43642.735000000001</v>
      </c>
      <c r="AN188" s="3">
        <v>45069.974999999999</v>
      </c>
      <c r="AO188" s="3">
        <v>42139.754999999997</v>
      </c>
      <c r="AP188" s="4">
        <f t="shared" si="170"/>
        <v>42139.754999999997</v>
      </c>
      <c r="AQ188" s="5">
        <v>42139.754999999997</v>
      </c>
      <c r="AR188" s="3">
        <v>42139.754999999997</v>
      </c>
      <c r="AS188" s="3">
        <v>42139.754999999997</v>
      </c>
      <c r="AT188" s="3">
        <v>42139.754999999997</v>
      </c>
      <c r="AU188" s="3">
        <v>42139.754999999997</v>
      </c>
      <c r="AV188" s="3">
        <v>42139.754999999997</v>
      </c>
      <c r="AW188" s="3">
        <v>42139.754999999997</v>
      </c>
      <c r="AX188" s="3">
        <v>42139.754999999997</v>
      </c>
      <c r="AY188" s="3">
        <v>42139.754999999997</v>
      </c>
      <c r="AZ188" s="3">
        <v>42139.754999999997</v>
      </c>
      <c r="BA188" s="3">
        <v>42139.754999999997</v>
      </c>
      <c r="BB188" s="3">
        <v>42139.754999999997</v>
      </c>
      <c r="BC188" s="4">
        <f t="shared" si="171"/>
        <v>42139.754999999997</v>
      </c>
    </row>
    <row r="189" spans="1:68" x14ac:dyDescent="0.25">
      <c r="A189" t="s">
        <v>208</v>
      </c>
      <c r="B189" s="2" t="s">
        <v>209</v>
      </c>
      <c r="D189" s="3">
        <v>-5000</v>
      </c>
      <c r="E189" s="3">
        <v>-3800</v>
      </c>
      <c r="F189" s="3">
        <v>-3800</v>
      </c>
      <c r="G189" s="3">
        <v>-3000</v>
      </c>
      <c r="H189" s="3">
        <v>-3000</v>
      </c>
      <c r="I189" s="3">
        <v>-3000</v>
      </c>
      <c r="J189" s="3">
        <v>-3000</v>
      </c>
      <c r="K189" s="3">
        <v>-3000</v>
      </c>
      <c r="L189" s="3">
        <v>-3000</v>
      </c>
      <c r="M189" s="3">
        <v>-3000</v>
      </c>
      <c r="N189" s="3">
        <v>-3000</v>
      </c>
      <c r="O189" s="3">
        <v>-3000</v>
      </c>
      <c r="P189" s="4">
        <f t="shared" si="168"/>
        <v>-3000</v>
      </c>
      <c r="Q189" s="3">
        <v>-3000</v>
      </c>
      <c r="R189" s="3">
        <v>-3000</v>
      </c>
      <c r="S189" s="3">
        <v>-3000</v>
      </c>
      <c r="T189" s="3">
        <v>-3000</v>
      </c>
      <c r="U189" s="3">
        <v>-3000</v>
      </c>
      <c r="V189" s="3">
        <v>-3000</v>
      </c>
      <c r="W189" s="3">
        <v>-3000</v>
      </c>
      <c r="X189" s="3">
        <v>-3000</v>
      </c>
      <c r="Y189" s="3">
        <v>-3000</v>
      </c>
      <c r="Z189" s="3">
        <v>-3000</v>
      </c>
      <c r="AA189" s="3">
        <v>-3000</v>
      </c>
      <c r="AB189" s="3">
        <v>-3000</v>
      </c>
      <c r="AC189" s="4">
        <f t="shared" si="169"/>
        <v>-3000</v>
      </c>
      <c r="AD189" s="3">
        <v>-3000</v>
      </c>
      <c r="AE189" s="3">
        <v>-3000</v>
      </c>
      <c r="AF189" s="3">
        <v>-3000</v>
      </c>
      <c r="AG189" s="3">
        <v>-3000</v>
      </c>
      <c r="AH189" s="3">
        <v>-3000</v>
      </c>
      <c r="AI189" s="3">
        <v>-3000</v>
      </c>
      <c r="AJ189" s="3">
        <v>-3000</v>
      </c>
      <c r="AK189" s="3">
        <v>-3000</v>
      </c>
      <c r="AL189" s="3">
        <v>-3000</v>
      </c>
      <c r="AM189" s="3">
        <v>-3000</v>
      </c>
      <c r="AN189" s="3">
        <v>-3000</v>
      </c>
      <c r="AO189" s="3">
        <v>-3000</v>
      </c>
      <c r="AP189" s="4">
        <f t="shared" si="170"/>
        <v>-3000</v>
      </c>
      <c r="AQ189" s="5">
        <v>-3000</v>
      </c>
      <c r="AR189" s="3">
        <v>-3000</v>
      </c>
      <c r="AS189" s="3">
        <v>-3000</v>
      </c>
      <c r="AT189" s="3">
        <v>-3000</v>
      </c>
      <c r="AU189" s="3">
        <v>-3000</v>
      </c>
      <c r="AV189" s="3">
        <v>-3000</v>
      </c>
      <c r="AW189" s="3">
        <v>-3000</v>
      </c>
      <c r="AX189" s="3">
        <v>-3000</v>
      </c>
      <c r="AY189" s="3">
        <v>-3000</v>
      </c>
      <c r="AZ189" s="3">
        <v>-3000</v>
      </c>
      <c r="BA189" s="3">
        <v>-3000</v>
      </c>
      <c r="BB189" s="3">
        <v>-3000</v>
      </c>
      <c r="BC189" s="4">
        <f t="shared" si="171"/>
        <v>-3000</v>
      </c>
    </row>
    <row r="190" spans="1:68" x14ac:dyDescent="0.25">
      <c r="A190" t="s">
        <v>210</v>
      </c>
      <c r="B190" s="2" t="s">
        <v>211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4">
        <f t="shared" si="168"/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4">
        <f t="shared" si="169"/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4">
        <f t="shared" si="170"/>
        <v>0</v>
      </c>
      <c r="AQ190" s="5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4">
        <f t="shared" si="171"/>
        <v>0</v>
      </c>
    </row>
    <row r="191" spans="1:68" x14ac:dyDescent="0.25">
      <c r="A191" t="s">
        <v>212</v>
      </c>
      <c r="B191" s="2" t="s">
        <v>213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4000</v>
      </c>
      <c r="P191" s="4">
        <f t="shared" si="168"/>
        <v>4000</v>
      </c>
      <c r="Q191" s="3">
        <v>4000</v>
      </c>
      <c r="R191" s="3">
        <v>4000</v>
      </c>
      <c r="S191" s="3">
        <v>4000</v>
      </c>
      <c r="T191" s="3">
        <v>4000</v>
      </c>
      <c r="U191" s="3">
        <v>4000</v>
      </c>
      <c r="V191" s="3">
        <v>4000</v>
      </c>
      <c r="W191" s="3">
        <v>4000</v>
      </c>
      <c r="X191" s="3">
        <v>4000</v>
      </c>
      <c r="Y191" s="3">
        <v>4000</v>
      </c>
      <c r="Z191" s="3">
        <v>4000</v>
      </c>
      <c r="AA191" s="3">
        <v>4000</v>
      </c>
      <c r="AB191" s="3">
        <v>3000</v>
      </c>
      <c r="AC191" s="4">
        <f t="shared" si="169"/>
        <v>3000</v>
      </c>
      <c r="AD191" s="3">
        <v>3000</v>
      </c>
      <c r="AE191" s="3">
        <v>3000</v>
      </c>
      <c r="AF191" s="3">
        <v>3000</v>
      </c>
      <c r="AG191" s="3">
        <v>3000</v>
      </c>
      <c r="AH191" s="3">
        <v>3000</v>
      </c>
      <c r="AI191" s="3">
        <v>3000</v>
      </c>
      <c r="AJ191" s="3">
        <v>3000</v>
      </c>
      <c r="AK191" s="3">
        <v>3000</v>
      </c>
      <c r="AL191" s="3">
        <v>3000</v>
      </c>
      <c r="AM191" s="3">
        <v>3000</v>
      </c>
      <c r="AN191" s="3">
        <v>3000</v>
      </c>
      <c r="AO191" s="3">
        <v>2000</v>
      </c>
      <c r="AP191" s="4">
        <f t="shared" si="170"/>
        <v>2000</v>
      </c>
      <c r="AQ191" s="5">
        <v>2000</v>
      </c>
      <c r="AR191" s="3">
        <v>2000</v>
      </c>
      <c r="AS191" s="3">
        <v>2000</v>
      </c>
      <c r="AT191" s="3">
        <v>2000</v>
      </c>
      <c r="AU191" s="3">
        <v>2000</v>
      </c>
      <c r="AV191" s="3">
        <v>2000</v>
      </c>
      <c r="AW191" s="3">
        <v>2000</v>
      </c>
      <c r="AX191" s="3">
        <v>2000</v>
      </c>
      <c r="AY191" s="3">
        <v>2000</v>
      </c>
      <c r="AZ191" s="3">
        <v>2000</v>
      </c>
      <c r="BA191" s="3">
        <v>2000</v>
      </c>
      <c r="BB191" s="3">
        <v>2000</v>
      </c>
      <c r="BC191" s="4">
        <f t="shared" si="171"/>
        <v>2000</v>
      </c>
    </row>
    <row r="192" spans="1:68" x14ac:dyDescent="0.25">
      <c r="A192" t="s">
        <v>214</v>
      </c>
      <c r="B192" s="2" t="s">
        <v>215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4">
        <f t="shared" si="168"/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4">
        <f t="shared" si="169"/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6000</v>
      </c>
      <c r="AK192" s="3">
        <v>6000</v>
      </c>
      <c r="AL192" s="3">
        <v>6000</v>
      </c>
      <c r="AM192" s="3">
        <v>6000</v>
      </c>
      <c r="AN192" s="3">
        <v>6000</v>
      </c>
      <c r="AO192" s="3">
        <v>4800</v>
      </c>
      <c r="AP192" s="4">
        <f t="shared" si="170"/>
        <v>4800</v>
      </c>
      <c r="AQ192" s="5">
        <v>4800</v>
      </c>
      <c r="AR192" s="3">
        <v>4800</v>
      </c>
      <c r="AS192" s="3">
        <v>4800</v>
      </c>
      <c r="AT192" s="3">
        <v>4800</v>
      </c>
      <c r="AU192" s="3">
        <v>4800</v>
      </c>
      <c r="AV192" s="3">
        <v>4800</v>
      </c>
      <c r="AW192" s="3">
        <v>4800</v>
      </c>
      <c r="AX192" s="3">
        <v>4800</v>
      </c>
      <c r="AY192" s="3">
        <v>4800</v>
      </c>
      <c r="AZ192" s="3">
        <v>4800</v>
      </c>
      <c r="BA192" s="3">
        <v>4800</v>
      </c>
      <c r="BB192" s="3">
        <v>4800</v>
      </c>
      <c r="BC192" s="4">
        <f t="shared" si="171"/>
        <v>4800</v>
      </c>
    </row>
    <row r="193" spans="1:68" x14ac:dyDescent="0.25">
      <c r="A193" t="s">
        <v>216</v>
      </c>
      <c r="B193" s="2" t="s">
        <v>217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-26294.153610000001</v>
      </c>
      <c r="P193" s="4">
        <f t="shared" si="168"/>
        <v>-26294.153610000001</v>
      </c>
      <c r="Q193" s="3">
        <v>-26294.153610000001</v>
      </c>
      <c r="R193" s="3">
        <v>-26294.153610000001</v>
      </c>
      <c r="S193" s="3">
        <v>-26294.153610000001</v>
      </c>
      <c r="T193" s="3">
        <v>-26294.153610000001</v>
      </c>
      <c r="U193" s="3">
        <v>-26294.153610000001</v>
      </c>
      <c r="V193" s="3">
        <v>-26294.153610000001</v>
      </c>
      <c r="W193" s="3">
        <v>-26294.153610000001</v>
      </c>
      <c r="X193" s="3">
        <v>-26294.153610000001</v>
      </c>
      <c r="Y193" s="3">
        <v>-26294.153610000001</v>
      </c>
      <c r="Z193" s="3">
        <v>0</v>
      </c>
      <c r="AA193" s="3">
        <v>0</v>
      </c>
      <c r="AB193" s="3">
        <v>-40184.010909999997</v>
      </c>
      <c r="AC193" s="4">
        <f t="shared" si="169"/>
        <v>-40184.010909999997</v>
      </c>
      <c r="AD193" s="3">
        <v>-40184.010909999997</v>
      </c>
      <c r="AE193" s="3">
        <v>-40184.010909999997</v>
      </c>
      <c r="AF193" s="3">
        <v>-40184.010909999997</v>
      </c>
      <c r="AG193" s="3">
        <v>-40184.010909999997</v>
      </c>
      <c r="AH193" s="3">
        <v>-40184.010909999997</v>
      </c>
      <c r="AI193" s="3">
        <v>-40184.010909999997</v>
      </c>
      <c r="AJ193" s="3">
        <v>-40184.010909999997</v>
      </c>
      <c r="AK193" s="3">
        <v>-40184.010909999997</v>
      </c>
      <c r="AL193" s="3">
        <v>-40184.010909999997</v>
      </c>
      <c r="AM193" s="3">
        <v>0</v>
      </c>
      <c r="AN193" s="3">
        <v>0</v>
      </c>
      <c r="AO193" s="3">
        <v>-32201.565930000001</v>
      </c>
      <c r="AP193" s="4">
        <f t="shared" si="170"/>
        <v>-32201.565930000001</v>
      </c>
      <c r="AQ193" s="5">
        <v>-32201.565930000001</v>
      </c>
      <c r="AR193" s="3">
        <v>-32201.565930000001</v>
      </c>
      <c r="AS193" s="3">
        <v>-32201.565930000001</v>
      </c>
      <c r="AT193" s="3">
        <v>-32201.565930000001</v>
      </c>
      <c r="AU193" s="3">
        <v>-32201.565930000001</v>
      </c>
      <c r="AV193" s="3">
        <v>-32201.565930000001</v>
      </c>
      <c r="AW193" s="3">
        <v>-32201.565930000001</v>
      </c>
      <c r="AX193" s="3">
        <v>-32201.565930000001</v>
      </c>
      <c r="AY193" s="3">
        <v>-32201.565930000001</v>
      </c>
      <c r="AZ193" s="3">
        <v>-32201.565930000001</v>
      </c>
      <c r="BA193" s="3">
        <v>-32201.565930000001</v>
      </c>
      <c r="BB193" s="3">
        <v>-32201.565930000001</v>
      </c>
      <c r="BC193" s="4">
        <f t="shared" si="171"/>
        <v>-32201.565930000001</v>
      </c>
    </row>
    <row r="194" spans="1:68" x14ac:dyDescent="0.25">
      <c r="A194" t="s">
        <v>218</v>
      </c>
      <c r="B194" s="2" t="s">
        <v>218</v>
      </c>
      <c r="D194" s="3">
        <v>0</v>
      </c>
      <c r="E194" s="3">
        <v>-807.35</v>
      </c>
      <c r="F194" s="3">
        <v>-4122.92</v>
      </c>
      <c r="G194" s="3">
        <v>-6654.38</v>
      </c>
      <c r="H194" s="3">
        <v>-3473.49</v>
      </c>
      <c r="I194" s="3">
        <v>-7087.68</v>
      </c>
      <c r="J194" s="3">
        <v>-6674.06</v>
      </c>
      <c r="K194" s="3">
        <v>-3417.78</v>
      </c>
      <c r="L194" s="3">
        <v>-5887.02</v>
      </c>
      <c r="M194" s="3">
        <v>-10780.8</v>
      </c>
      <c r="N194" s="3">
        <v>-8745.73</v>
      </c>
      <c r="O194" s="3">
        <v>-10827.62</v>
      </c>
      <c r="P194" s="4">
        <f t="shared" si="168"/>
        <v>-10827.62</v>
      </c>
      <c r="Q194" s="3">
        <v>-10226.76</v>
      </c>
      <c r="R194" s="3">
        <v>-6018.05</v>
      </c>
      <c r="S194" s="3">
        <v>-8968.4</v>
      </c>
      <c r="T194" s="3">
        <v>-11406.38</v>
      </c>
      <c r="U194" s="3">
        <v>-2086.7399999999998</v>
      </c>
      <c r="V194" s="3">
        <v>-7348.4</v>
      </c>
      <c r="W194" s="3">
        <v>-10660.64</v>
      </c>
      <c r="X194" s="3">
        <v>-6875.2</v>
      </c>
      <c r="Y194" s="3">
        <v>-8013.7</v>
      </c>
      <c r="Z194" s="3">
        <v>-14871.45</v>
      </c>
      <c r="AA194" s="3">
        <v>-8562.23</v>
      </c>
      <c r="AB194" s="3">
        <v>-13450.21</v>
      </c>
      <c r="AC194" s="4">
        <f t="shared" si="169"/>
        <v>-13450.21</v>
      </c>
      <c r="AD194" s="3">
        <v>-13783.32</v>
      </c>
      <c r="AE194" s="3">
        <v>-7022.42</v>
      </c>
      <c r="AF194" s="3">
        <v>-9317.99</v>
      </c>
      <c r="AG194" s="3">
        <v>-15495.62</v>
      </c>
      <c r="AH194" s="3">
        <v>-8243.5400000000009</v>
      </c>
      <c r="AI194" s="3">
        <v>-15301.99</v>
      </c>
      <c r="AJ194" s="3">
        <v>-15381.41</v>
      </c>
      <c r="AK194" s="3">
        <v>-5144.8599999999997</v>
      </c>
      <c r="AL194" s="3">
        <v>-4696.12</v>
      </c>
      <c r="AM194" s="3">
        <v>-5028.26</v>
      </c>
      <c r="AN194" s="3">
        <v>-4882.3599999999997</v>
      </c>
      <c r="AO194" s="3">
        <v>-7167.9</v>
      </c>
      <c r="AP194" s="4">
        <f t="shared" si="170"/>
        <v>-7167.9</v>
      </c>
      <c r="AQ194" s="5">
        <v>-7167.9</v>
      </c>
      <c r="AR194" s="3">
        <v>-7167.9</v>
      </c>
      <c r="AS194" s="3">
        <v>-7167.9</v>
      </c>
      <c r="AT194" s="3">
        <v>-7167.9</v>
      </c>
      <c r="AU194" s="3">
        <v>-7167.9</v>
      </c>
      <c r="AV194" s="3">
        <v>-7167.9</v>
      </c>
      <c r="AW194" s="3">
        <v>-7167.9</v>
      </c>
      <c r="AX194" s="3">
        <v>-7167.9</v>
      </c>
      <c r="AY194" s="3">
        <v>-7167.9</v>
      </c>
      <c r="AZ194" s="3">
        <v>-7167.9</v>
      </c>
      <c r="BA194" s="3">
        <v>-7167.9</v>
      </c>
      <c r="BB194" s="3">
        <v>-7167.9</v>
      </c>
      <c r="BC194" s="4">
        <f t="shared" si="171"/>
        <v>-7167.9</v>
      </c>
    </row>
    <row r="195" spans="1:68" x14ac:dyDescent="0.25">
      <c r="A195" t="s">
        <v>185</v>
      </c>
      <c r="B195" s="2" t="s">
        <v>219</v>
      </c>
      <c r="D195" s="3">
        <v>0</v>
      </c>
      <c r="E195" s="3">
        <v>-1185.8996</v>
      </c>
      <c r="F195" s="3">
        <v>-599.42971999999997</v>
      </c>
      <c r="G195" s="3">
        <v>-295.53287999999998</v>
      </c>
      <c r="H195" s="3">
        <v>-172.72656000000001</v>
      </c>
      <c r="I195" s="3">
        <v>-86.110759999999999</v>
      </c>
      <c r="J195" s="3">
        <v>-179.86204000000001</v>
      </c>
      <c r="K195" s="3">
        <v>-397.76364000000001</v>
      </c>
      <c r="L195" s="3">
        <v>-379.30576000000002</v>
      </c>
      <c r="M195" s="3">
        <v>-313.5684</v>
      </c>
      <c r="N195" s="3">
        <v>-863.06736000000001</v>
      </c>
      <c r="O195" s="3">
        <v>-746.08784000000003</v>
      </c>
      <c r="P195" s="4">
        <f t="shared" si="168"/>
        <v>-746.08784000000003</v>
      </c>
      <c r="Q195" s="3">
        <v>-645.37616000000003</v>
      </c>
      <c r="R195" s="3">
        <v>-727.88192000000004</v>
      </c>
      <c r="S195" s="3">
        <v>-607.79088000000002</v>
      </c>
      <c r="T195" s="3">
        <v>-1610.7416800000001</v>
      </c>
      <c r="U195" s="3">
        <v>-902.1</v>
      </c>
      <c r="V195" s="3">
        <v>-643.82003999999995</v>
      </c>
      <c r="W195" s="3">
        <v>-818.04192</v>
      </c>
      <c r="X195" s="3">
        <v>-187.10908000000001</v>
      </c>
      <c r="Y195" s="3">
        <v>-261.60651999999999</v>
      </c>
      <c r="Z195" s="3">
        <v>-878.20591999999999</v>
      </c>
      <c r="AA195" s="3">
        <v>-398.80671999999998</v>
      </c>
      <c r="AB195" s="3">
        <v>-453.56356</v>
      </c>
      <c r="AC195" s="4">
        <f t="shared" si="169"/>
        <v>-453.56356</v>
      </c>
      <c r="AD195" s="3">
        <v>-1275.6914400000001</v>
      </c>
      <c r="AE195" s="3">
        <v>-272.99072000000001</v>
      </c>
      <c r="AF195" s="3">
        <v>-542.35011999999995</v>
      </c>
      <c r="AG195" s="3">
        <v>-824.28908000000001</v>
      </c>
      <c r="AH195" s="3">
        <v>-277.95943999999997</v>
      </c>
      <c r="AI195" s="3">
        <v>-655.26811999999995</v>
      </c>
      <c r="AJ195" s="3">
        <v>-440.27888000000002</v>
      </c>
      <c r="AK195" s="3">
        <v>-170.39116000000001</v>
      </c>
      <c r="AL195" s="3">
        <v>-342.28528</v>
      </c>
      <c r="AM195" s="3">
        <v>-1499.0188000000001</v>
      </c>
      <c r="AN195" s="3">
        <v>-1099.49</v>
      </c>
      <c r="AO195" s="3">
        <v>-731.98260000000005</v>
      </c>
      <c r="AP195" s="4">
        <f t="shared" si="170"/>
        <v>-731.98260000000005</v>
      </c>
      <c r="AQ195" s="5">
        <v>-731.98260000000005</v>
      </c>
      <c r="AR195" s="3">
        <v>-731.98260000000005</v>
      </c>
      <c r="AS195" s="3">
        <v>-731.98260000000005</v>
      </c>
      <c r="AT195" s="3">
        <v>-731.98260000000005</v>
      </c>
      <c r="AU195" s="3">
        <v>-731.98260000000005</v>
      </c>
      <c r="AV195" s="3">
        <v>-731.98260000000005</v>
      </c>
      <c r="AW195" s="3">
        <v>-731.98260000000005</v>
      </c>
      <c r="AX195" s="3">
        <v>-731.98260000000005</v>
      </c>
      <c r="AY195" s="3">
        <v>-731.98260000000005</v>
      </c>
      <c r="AZ195" s="3">
        <v>-731.98260000000005</v>
      </c>
      <c r="BA195" s="3">
        <v>-731.98260000000005</v>
      </c>
      <c r="BB195" s="3">
        <v>-731.98260000000005</v>
      </c>
      <c r="BC195" s="4">
        <f t="shared" si="171"/>
        <v>-731.98260000000005</v>
      </c>
    </row>
    <row r="196" spans="1:68" s="13" customFormat="1" x14ac:dyDescent="0.25">
      <c r="A196" s="13" t="s">
        <v>220</v>
      </c>
      <c r="B196" s="60"/>
      <c r="D196" s="61">
        <f t="shared" ref="D196:AI196" si="172">SUM(D184:D195)</f>
        <v>35000</v>
      </c>
      <c r="E196" s="61">
        <f t="shared" si="172"/>
        <v>37504.130400000009</v>
      </c>
      <c r="F196" s="61">
        <f t="shared" si="172"/>
        <v>51402.960279999999</v>
      </c>
      <c r="G196" s="61">
        <f t="shared" si="172"/>
        <v>62234.207119999999</v>
      </c>
      <c r="H196" s="61">
        <f t="shared" si="172"/>
        <v>64336.473440000002</v>
      </c>
      <c r="I196" s="61">
        <f t="shared" si="172"/>
        <v>79578.209240000011</v>
      </c>
      <c r="J196" s="61">
        <f t="shared" si="172"/>
        <v>84430.757960000003</v>
      </c>
      <c r="K196" s="61">
        <f t="shared" si="172"/>
        <v>100854.34636</v>
      </c>
      <c r="L196" s="61">
        <f t="shared" si="172"/>
        <v>110245.70423999999</v>
      </c>
      <c r="M196" s="61">
        <f t="shared" si="172"/>
        <v>131813.30160000001</v>
      </c>
      <c r="N196" s="61">
        <f t="shared" si="172"/>
        <v>148367.12264000002</v>
      </c>
      <c r="O196" s="61">
        <f t="shared" si="172"/>
        <v>148095.12855000002</v>
      </c>
      <c r="P196" s="62">
        <f t="shared" si="172"/>
        <v>148095.12855000002</v>
      </c>
      <c r="Q196" s="61">
        <f t="shared" si="172"/>
        <v>154306.29022999996</v>
      </c>
      <c r="R196" s="61">
        <f t="shared" si="172"/>
        <v>184605.15447000001</v>
      </c>
      <c r="S196" s="61">
        <f t="shared" si="172"/>
        <v>196487.18551000001</v>
      </c>
      <c r="T196" s="61">
        <f t="shared" si="172"/>
        <v>220985.26470999996</v>
      </c>
      <c r="U196" s="61">
        <f t="shared" si="172"/>
        <v>238403.03639000002</v>
      </c>
      <c r="V196" s="61">
        <f t="shared" si="172"/>
        <v>262064.20635000002</v>
      </c>
      <c r="W196" s="61">
        <f t="shared" si="172"/>
        <v>278752.95447000006</v>
      </c>
      <c r="X196" s="61">
        <f t="shared" si="172"/>
        <v>293701.64731000003</v>
      </c>
      <c r="Y196" s="61">
        <f t="shared" si="172"/>
        <v>300313.14987000002</v>
      </c>
      <c r="Z196" s="61">
        <f t="shared" si="172"/>
        <v>331905.46046999999</v>
      </c>
      <c r="AA196" s="61">
        <f t="shared" si="172"/>
        <v>337735.19967000006</v>
      </c>
      <c r="AB196" s="61">
        <f t="shared" si="172"/>
        <v>318405.91192000004</v>
      </c>
      <c r="AC196" s="62">
        <f t="shared" si="172"/>
        <v>318405.91192000004</v>
      </c>
      <c r="AD196" s="61">
        <f t="shared" si="172"/>
        <v>317412.25903999998</v>
      </c>
      <c r="AE196" s="61">
        <f t="shared" si="172"/>
        <v>348139.49976000004</v>
      </c>
      <c r="AF196" s="61">
        <f t="shared" si="172"/>
        <v>361001.92035999999</v>
      </c>
      <c r="AG196" s="61">
        <f t="shared" si="172"/>
        <v>389032.69140000001</v>
      </c>
      <c r="AH196" s="61">
        <f t="shared" si="172"/>
        <v>384564.51103999995</v>
      </c>
      <c r="AI196" s="61">
        <f t="shared" si="172"/>
        <v>417055.43235999998</v>
      </c>
      <c r="AJ196" s="61">
        <f t="shared" ref="AJ196:BO196" si="173">SUM(AJ184:AJ195)</f>
        <v>424515.39159999997</v>
      </c>
      <c r="AK196" s="61">
        <f t="shared" si="173"/>
        <v>438460.62931999995</v>
      </c>
      <c r="AL196" s="61">
        <f t="shared" si="173"/>
        <v>446491.33519999997</v>
      </c>
      <c r="AM196" s="61">
        <f t="shared" si="173"/>
        <v>463804.45167999994</v>
      </c>
      <c r="AN196" s="61">
        <f t="shared" si="173"/>
        <v>485289.99047999998</v>
      </c>
      <c r="AO196" s="61">
        <f t="shared" si="173"/>
        <v>459486.35194999998</v>
      </c>
      <c r="AP196" s="62">
        <f t="shared" si="173"/>
        <v>459486.35194999998</v>
      </c>
      <c r="AQ196" s="63">
        <f t="shared" si="173"/>
        <v>459486.35194999998</v>
      </c>
      <c r="AR196" s="61">
        <f t="shared" si="173"/>
        <v>459486.35194999998</v>
      </c>
      <c r="AS196" s="61">
        <f t="shared" si="173"/>
        <v>459486.35194999998</v>
      </c>
      <c r="AT196" s="61">
        <f t="shared" si="173"/>
        <v>459486.35194999998</v>
      </c>
      <c r="AU196" s="61">
        <f t="shared" si="173"/>
        <v>459486.35194999998</v>
      </c>
      <c r="AV196" s="61">
        <f t="shared" si="173"/>
        <v>459486.35194999998</v>
      </c>
      <c r="AW196" s="61">
        <f t="shared" si="173"/>
        <v>459486.35194999998</v>
      </c>
      <c r="AX196" s="61">
        <f t="shared" si="173"/>
        <v>459486.35194999998</v>
      </c>
      <c r="AY196" s="61">
        <f t="shared" si="173"/>
        <v>459486.35194999998</v>
      </c>
      <c r="AZ196" s="61">
        <f t="shared" si="173"/>
        <v>459486.35194999998</v>
      </c>
      <c r="BA196" s="61">
        <f t="shared" si="173"/>
        <v>459486.35194999998</v>
      </c>
      <c r="BB196" s="61">
        <f t="shared" si="173"/>
        <v>459486.35194999998</v>
      </c>
      <c r="BC196" s="62">
        <f t="shared" si="173"/>
        <v>459486.35194999998</v>
      </c>
      <c r="BD196" s="61">
        <f t="shared" si="173"/>
        <v>0</v>
      </c>
      <c r="BE196" s="61">
        <f t="shared" si="173"/>
        <v>0</v>
      </c>
      <c r="BF196" s="61">
        <f t="shared" si="173"/>
        <v>0</v>
      </c>
      <c r="BG196" s="61">
        <f t="shared" si="173"/>
        <v>0</v>
      </c>
      <c r="BH196" s="61">
        <f t="shared" si="173"/>
        <v>0</v>
      </c>
      <c r="BI196" s="61">
        <f t="shared" si="173"/>
        <v>0</v>
      </c>
      <c r="BJ196" s="61">
        <f t="shared" si="173"/>
        <v>0</v>
      </c>
      <c r="BK196" s="61">
        <f t="shared" si="173"/>
        <v>0</v>
      </c>
      <c r="BL196" s="61">
        <f t="shared" si="173"/>
        <v>0</v>
      </c>
      <c r="BM196" s="61">
        <f t="shared" si="173"/>
        <v>0</v>
      </c>
      <c r="BN196" s="61">
        <f t="shared" si="173"/>
        <v>0</v>
      </c>
      <c r="BO196" s="61">
        <f t="shared" si="173"/>
        <v>0</v>
      </c>
      <c r="BP196" s="62">
        <f t="shared" ref="BP196:CU196" si="174">SUM(BP184:BP195)</f>
        <v>0</v>
      </c>
    </row>
  </sheetData>
  <sheetProtection sheet="1" objects="1"/>
  <conditionalFormatting sqref="D142:BP154">
    <cfRule type="cellIs" dxfId="6" priority="1" operator="lessThan">
      <formula>0</formula>
    </cfRule>
  </conditionalFormatting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"/>
  <sheetViews>
    <sheetView workbookViewId="0">
      <pane ySplit="4" topLeftCell="A5" activePane="bottomLeft" state="frozenSplit"/>
      <selection pane="bottomLeft"/>
    </sheetView>
  </sheetViews>
  <sheetFormatPr defaultRowHeight="15" x14ac:dyDescent="0.25"/>
  <cols>
    <col min="1" max="1" width="9.7109375" customWidth="1"/>
    <col min="2" max="2" width="25.7109375" customWidth="1"/>
    <col min="3" max="3" width="14.7109375" style="112" customWidth="1"/>
    <col min="4" max="4" width="13.5703125" style="112" customWidth="1"/>
    <col min="5" max="5" width="10.42578125" style="112" customWidth="1"/>
    <col min="6" max="6" width="11.5703125" style="112" customWidth="1"/>
    <col min="7" max="7" width="13.28515625" style="112" customWidth="1"/>
    <col min="8" max="8" width="17" style="112" customWidth="1"/>
    <col min="9" max="9" width="22.85546875" style="112" customWidth="1"/>
    <col min="10" max="10" width="23.42578125" style="112" customWidth="1"/>
    <col min="11" max="11" width="11.5703125" style="112" customWidth="1"/>
    <col min="12" max="12" width="9.140625" style="112" customWidth="1"/>
    <col min="13" max="13" width="11" style="112" customWidth="1"/>
    <col min="14" max="14" width="9.85546875" style="112" customWidth="1"/>
    <col min="15" max="15" width="6.42578125" customWidth="1"/>
  </cols>
  <sheetData>
    <row r="1" spans="1:15" s="111" customFormat="1" x14ac:dyDescent="0.25">
      <c r="A1" s="111" t="s">
        <v>221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</row>
    <row r="2" spans="1:15" x14ac:dyDescent="0.25">
      <c r="A2" t="s">
        <v>222</v>
      </c>
      <c r="B2" s="112">
        <v>0.1</v>
      </c>
      <c r="D2" s="112" t="s">
        <v>223</v>
      </c>
      <c r="E2" s="113" t="str">
        <f>IF(COUNTIF(O5:O8,"FAIL")&gt;0,"FAIL",IF(COUNTIF(O5:O8,"WARN")&gt;0,"WARN","PASS"))</f>
        <v>PASS</v>
      </c>
    </row>
    <row r="4" spans="1:15" s="104" customFormat="1" x14ac:dyDescent="0.25">
      <c r="A4" s="104" t="s">
        <v>224</v>
      </c>
      <c r="B4" s="104" t="s">
        <v>225</v>
      </c>
      <c r="C4" s="114" t="s">
        <v>226</v>
      </c>
      <c r="D4" s="114" t="s">
        <v>227</v>
      </c>
      <c r="E4" s="114" t="s">
        <v>228</v>
      </c>
      <c r="F4" s="114" t="s">
        <v>229</v>
      </c>
      <c r="G4" s="114" t="s">
        <v>230</v>
      </c>
      <c r="H4" s="114" t="s">
        <v>231</v>
      </c>
      <c r="I4" s="114" t="s">
        <v>232</v>
      </c>
      <c r="J4" s="114" t="s">
        <v>233</v>
      </c>
      <c r="K4" s="114" t="s">
        <v>234</v>
      </c>
      <c r="L4" s="114"/>
      <c r="M4" s="114" t="s">
        <v>235</v>
      </c>
      <c r="N4" s="114" t="s">
        <v>236</v>
      </c>
      <c r="O4" s="104" t="s">
        <v>223</v>
      </c>
    </row>
    <row r="5" spans="1:15" x14ac:dyDescent="0.25">
      <c r="A5">
        <v>2023</v>
      </c>
      <c r="B5" t="s">
        <v>19</v>
      </c>
      <c r="C5" s="112">
        <v>0</v>
      </c>
      <c r="D5" s="112">
        <v>148095.13</v>
      </c>
      <c r="E5" s="112">
        <v>142390.28</v>
      </c>
      <c r="F5" s="112">
        <v>26294.15</v>
      </c>
      <c r="G5" s="112">
        <v>116096.13</v>
      </c>
      <c r="H5" s="112">
        <v>-3001</v>
      </c>
      <c r="I5" s="112">
        <v>400</v>
      </c>
      <c r="J5" s="112">
        <v>35000</v>
      </c>
      <c r="K5" s="112">
        <v>148095.13</v>
      </c>
      <c r="M5" s="112">
        <f>G5+H5+J5</f>
        <v>148095.13</v>
      </c>
      <c r="N5" s="112">
        <f>K5-M5</f>
        <v>0</v>
      </c>
      <c r="O5" t="str">
        <f>IF(ABS(N5)&lt;= $B$2, "PASS", IF(ABS(N5)&lt;= ($B$2*10), "WARN", "FAIL"))</f>
        <v>PASS</v>
      </c>
    </row>
    <row r="6" spans="1:15" x14ac:dyDescent="0.25">
      <c r="A6">
        <v>2024</v>
      </c>
      <c r="B6" t="s">
        <v>22</v>
      </c>
      <c r="C6" s="112">
        <v>148095.13</v>
      </c>
      <c r="D6" s="112">
        <v>318405.90999999997</v>
      </c>
      <c r="E6" s="112">
        <v>210494.79</v>
      </c>
      <c r="F6" s="112">
        <v>40184.01</v>
      </c>
      <c r="G6" s="112">
        <v>170310.78</v>
      </c>
      <c r="H6" s="112">
        <v>0</v>
      </c>
      <c r="I6" s="112">
        <v>0</v>
      </c>
      <c r="J6" s="112">
        <v>0</v>
      </c>
      <c r="K6" s="112">
        <v>170310.78</v>
      </c>
      <c r="M6" s="112">
        <f>G6+H6+J6</f>
        <v>170310.78</v>
      </c>
      <c r="N6" s="112">
        <f>K6-M6</f>
        <v>0</v>
      </c>
      <c r="O6" t="str">
        <f>IF(ABS(N6)&lt;= $B$2, "PASS", IF(ABS(N6)&lt;= ($B$2*10), "WARN", "FAIL"))</f>
        <v>PASS</v>
      </c>
    </row>
    <row r="7" spans="1:15" x14ac:dyDescent="0.25">
      <c r="A7">
        <v>2025</v>
      </c>
      <c r="B7" t="s">
        <v>24</v>
      </c>
      <c r="C7" s="112">
        <v>318405.90999999997</v>
      </c>
      <c r="D7" s="112">
        <v>459486.35</v>
      </c>
      <c r="E7" s="112">
        <v>173281.93</v>
      </c>
      <c r="F7" s="112">
        <v>32201.57</v>
      </c>
      <c r="G7" s="112">
        <v>141080.35999999999</v>
      </c>
      <c r="H7" s="112">
        <v>0</v>
      </c>
      <c r="I7" s="112">
        <v>0</v>
      </c>
      <c r="J7" s="112">
        <v>0</v>
      </c>
      <c r="K7" s="112">
        <v>141080.44</v>
      </c>
      <c r="M7" s="112">
        <f>G7+H7+J7</f>
        <v>141080.35999999999</v>
      </c>
      <c r="N7" s="112">
        <f>K7-M7</f>
        <v>8.0000000016298145E-2</v>
      </c>
      <c r="O7" t="str">
        <f>IF(ABS(N7)&lt;= $B$2, "PASS", IF(ABS(N7)&lt;= ($B$2*10), "WARN", "FAIL"))</f>
        <v>PASS</v>
      </c>
    </row>
    <row r="8" spans="1:15" x14ac:dyDescent="0.25">
      <c r="A8">
        <v>2026</v>
      </c>
      <c r="B8" t="s">
        <v>26</v>
      </c>
      <c r="C8" s="112">
        <v>459486.35</v>
      </c>
      <c r="D8" s="112">
        <v>459486.35</v>
      </c>
      <c r="E8" s="112">
        <v>0</v>
      </c>
      <c r="F8" s="112">
        <v>0</v>
      </c>
      <c r="G8" s="112">
        <v>0</v>
      </c>
      <c r="H8" s="112">
        <v>0</v>
      </c>
      <c r="I8" s="112">
        <v>0</v>
      </c>
      <c r="J8" s="112">
        <v>0</v>
      </c>
      <c r="K8" s="112">
        <v>0</v>
      </c>
      <c r="M8" s="112">
        <f>G8+H8+J8</f>
        <v>0</v>
      </c>
      <c r="N8" s="112">
        <f>K8-M8</f>
        <v>0</v>
      </c>
      <c r="O8" t="str">
        <f>IF(ABS(N8)&lt;= $B$2, "PASS", IF(ABS(N8)&lt;= ($B$2*10), "WARN", "FAIL"))</f>
        <v>PASS</v>
      </c>
    </row>
  </sheetData>
  <conditionalFormatting sqref="E2">
    <cfRule type="cellIs" dxfId="5" priority="4" operator="equal">
      <formula>"FAIL"</formula>
    </cfRule>
    <cfRule type="cellIs" dxfId="4" priority="5" operator="equal">
      <formula>"WARN"</formula>
    </cfRule>
    <cfRule type="cellIs" dxfId="3" priority="6" operator="equal">
      <formula>"PASS"</formula>
    </cfRule>
  </conditionalFormatting>
  <conditionalFormatting sqref="O5:O8">
    <cfRule type="cellIs" dxfId="2" priority="1" operator="equal">
      <formula>"FAIL"</formula>
    </cfRule>
    <cfRule type="cellIs" dxfId="1" priority="2" operator="equal">
      <formula>"WARN"</formula>
    </cfRule>
    <cfRule type="cellIs" dxfId="0" priority="3" operator="equal">
      <formula>"PASS"</formula>
    </cfRule>
  </conditionalFormatting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Cash Flow</vt:lpstr>
      <vt:lpstr>Reconciliation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Monnox</cp:lastModifiedBy>
  <dcterms:created xsi:type="dcterms:W3CDTF">2026-10-07T16:56:49Z</dcterms:created>
  <dcterms:modified xsi:type="dcterms:W3CDTF">2026-10-07T16:57:52Z</dcterms:modified>
</cp:coreProperties>
</file>